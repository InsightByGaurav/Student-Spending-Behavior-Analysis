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gaura\Downloads\"/>
    </mc:Choice>
  </mc:AlternateContent>
  <xr:revisionPtr revIDLastSave="0" documentId="13_ncr:1_{01074C09-5CA2-497F-BC80-8D123054CAC1}" xr6:coauthVersionLast="47" xr6:coauthVersionMax="47" xr10:uidLastSave="{00000000-0000-0000-0000-000000000000}"/>
  <bookViews>
    <workbookView xWindow="-108" yWindow="-108" windowWidth="23256" windowHeight="12456" firstSheet="4" activeTab="7" xr2:uid="{00000000-000D-0000-FFFF-FFFF00000000}"/>
  </bookViews>
  <sheets>
    <sheet name="Form Responses 1" sheetId="1" r:id="rId1"/>
    <sheet name="Saving Behavior" sheetId="16" r:id="rId2"/>
    <sheet name="Spending Category Count" sheetId="17" r:id="rId3"/>
    <sheet name="Comparison " sheetId="8" r:id="rId4"/>
    <sheet name="Multiple comparison graph" sheetId="9" r:id="rId5"/>
    <sheet name="Payment method analysis" sheetId="18" r:id="rId6"/>
    <sheet name="Gender Spending" sheetId="13" r:id="rId7"/>
    <sheet name="Combine report" sheetId="12" r:id="rId8"/>
  </sheets>
  <definedNames>
    <definedName name="Slicer_Do_you_save_money?">#N/A</definedName>
    <definedName name="Slicer_Gender">#N/A</definedName>
    <definedName name="Slicer_What_is_your_main_spending_category?">#N/A</definedName>
    <definedName name="Slicer_What_is_your_monthly_allowance_inco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<sst xmlns="http://schemas.openxmlformats.org/spreadsheetml/2006/main" count="436" uniqueCount="49">
  <si>
    <t>Age</t>
  </si>
  <si>
    <t>Gender</t>
  </si>
  <si>
    <t>Approx % of money spent on Shopping.</t>
  </si>
  <si>
    <t>Approx % of money spent on Travel.</t>
  </si>
  <si>
    <t>What influences your spending the most?</t>
  </si>
  <si>
    <t>Preferred payment method</t>
  </si>
  <si>
    <t>Female</t>
  </si>
  <si>
    <t>Less than ₹2000</t>
  </si>
  <si>
    <t>₹2000 - ₹5000</t>
  </si>
  <si>
    <t>Food</t>
  </si>
  <si>
    <t>No</t>
  </si>
  <si>
    <t>Less than ₹1000</t>
  </si>
  <si>
    <t>Personal Needs</t>
  </si>
  <si>
    <t>UPI</t>
  </si>
  <si>
    <t>Male</t>
  </si>
  <si>
    <t>Yes</t>
  </si>
  <si>
    <t>Friends</t>
  </si>
  <si>
    <t>₹5000 - ₹10000</t>
  </si>
  <si>
    <t>Above ₹10000</t>
  </si>
  <si>
    <t>Entertainment</t>
  </si>
  <si>
    <t>Above ₹3000</t>
  </si>
  <si>
    <t>Cash</t>
  </si>
  <si>
    <t>Debit/Credit Card</t>
  </si>
  <si>
    <t>Others</t>
  </si>
  <si>
    <t>Shopping</t>
  </si>
  <si>
    <t>Social Media</t>
  </si>
  <si>
    <t>Discounts</t>
  </si>
  <si>
    <t>Travel</t>
  </si>
  <si>
    <t>₹1000 - ₹3000</t>
  </si>
  <si>
    <t>unknown</t>
  </si>
  <si>
    <t>Approx  of money spent on Food.</t>
  </si>
  <si>
    <t>Row Labels</t>
  </si>
  <si>
    <t>Grand Total</t>
  </si>
  <si>
    <t>Count of What is your main spending category?</t>
  </si>
  <si>
    <t>Count of Preferred payment method</t>
  </si>
  <si>
    <t>Count of Do you save money?</t>
  </si>
  <si>
    <t>₹2000 – ₹5000</t>
  </si>
  <si>
    <t>₹5000 – ₹10000</t>
  </si>
  <si>
    <t>Average of How much do you spend monthly? 3</t>
  </si>
  <si>
    <t>Column Labels</t>
  </si>
  <si>
    <t>Student Spending Behavior</t>
  </si>
  <si>
    <t xml:space="preserve"> </t>
  </si>
  <si>
    <t>Sum of How much do you spend monthly? 3</t>
  </si>
  <si>
    <t>Avg of Spending</t>
  </si>
  <si>
    <t>Allowance</t>
  </si>
  <si>
    <t>Spendings</t>
  </si>
  <si>
    <t>Main spending category</t>
  </si>
  <si>
    <t>save money?</t>
  </si>
  <si>
    <t>Amount Save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</si>
</sst>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scheme val="minor"/>
    </font>
    <font>
      <sz val="10"/>
      <color rgb="FF000000"/>
      <name val="Arial"/>
      <scheme val="minor"/>
    </font>
    <font>
      <sz val="8"/>
      <name val="Arial"/>
      <scheme val="minor"/>
    </font>
    <font>
      <b/>
      <sz val="18"/>
      <color theme="0"/>
      <name val="Times New Roman"/>
      <family val="1"/>
    </font>
    <font>
      <b/>
      <sz val="12"/>
      <color theme="1"/>
      <name val="Arial"/>
      <family val="2"/>
      <scheme val="minor"/>
    </font>
    <font>
      <b/>
      <sz val="12"/>
      <color rgb="FF000000"/>
      <name val="Arial"/>
      <family val="2"/>
      <scheme val="minor"/>
    </font>
  </fonts>
  <fills count="6">
    <fill>
      <patternFill patternType="none"/>
    </fill>
    <fill>
      <patternFill patternType="gray125"/>
    </fill>
    <fill>
      <patternFill patternType="solid">
        <fgColor theme="8"/>
        <bgColor indexed="64"/>
      </patternFill>
    </fill>
    <fill>
      <patternFill patternType="solid">
        <fgColor theme="0" tint="-0.249977111117893"/>
        <bgColor indexed="64"/>
      </patternFill>
    </fill>
    <fill>
      <patternFill patternType="solid">
        <fgColor theme="0"/>
        <bgColor indexed="64"/>
      </patternFill>
    </fill>
    <fill>
      <patternFill patternType="solid">
        <fgColor theme="6" tint="-0.249977111117893"/>
        <bgColor indexed="64"/>
      </patternFill>
    </fill>
  </fills>
  <borders count="2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style="thin">
        <color rgb="FF999999"/>
      </right>
      <top style="thin">
        <color rgb="FF999999"/>
      </top>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style="thin">
        <color rgb="FF999999"/>
      </left>
      <right style="thin">
        <color rgb="FF999999"/>
      </right>
      <top style="thin">
        <color indexed="65"/>
      </top>
      <bottom style="thin">
        <color rgb="FF99999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999999"/>
      </right>
      <top style="thin">
        <color rgb="FF999999"/>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
      <left/>
      <right/>
      <top/>
      <bottom style="medium">
        <color indexed="64"/>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42">
    <xf numFmtId="0" fontId="0" fillId="0" borderId="0" xfId="0"/>
    <xf numFmtId="0" fontId="1" fillId="0" borderId="0" xfId="0" applyFont="1" applyAlignment="1">
      <alignment horizontal="left" vertical="center"/>
    </xf>
    <xf numFmtId="0" fontId="0" fillId="0" borderId="0" xfId="0" applyAlignment="1">
      <alignment horizontal="left"/>
    </xf>
    <xf numFmtId="9" fontId="1" fillId="0" borderId="0" xfId="1" applyFont="1" applyAlignment="1">
      <alignment horizontal="left" vertical="center"/>
    </xf>
    <xf numFmtId="9" fontId="0" fillId="0" borderId="0" xfId="1" applyFont="1" applyAlignment="1">
      <alignment horizontal="left"/>
    </xf>
    <xf numFmtId="0" fontId="0" fillId="0" borderId="1" xfId="0" applyBorder="1"/>
    <xf numFmtId="0" fontId="0" fillId="0" borderId="2"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8" xfId="0" applyBorder="1"/>
    <xf numFmtId="0" fontId="0" fillId="0" borderId="10" xfId="0" applyBorder="1"/>
    <xf numFmtId="0" fontId="0" fillId="0" borderId="9" xfId="0" applyBorder="1" applyAlignment="1">
      <alignment horizontal="left"/>
    </xf>
    <xf numFmtId="0" fontId="0" fillId="3" borderId="0" xfId="0" applyFill="1"/>
    <xf numFmtId="0" fontId="0" fillId="4" borderId="0" xfId="0" applyFill="1"/>
    <xf numFmtId="0" fontId="0" fillId="0" borderId="6" xfId="0" applyBorder="1"/>
    <xf numFmtId="0" fontId="0" fillId="0" borderId="5" xfId="0" applyBorder="1"/>
    <xf numFmtId="0" fontId="0" fillId="0" borderId="13" xfId="0" applyBorder="1"/>
    <xf numFmtId="0" fontId="0" fillId="0" borderId="17" xfId="0" applyBorder="1"/>
    <xf numFmtId="0" fontId="0" fillId="0" borderId="7" xfId="0" applyBorder="1"/>
    <xf numFmtId="0" fontId="0" fillId="0" borderId="12" xfId="0" applyBorder="1"/>
    <xf numFmtId="0" fontId="0" fillId="0" borderId="9" xfId="0" applyBorder="1"/>
    <xf numFmtId="0" fontId="0" fillId="0" borderId="18" xfId="0" applyBorder="1"/>
    <xf numFmtId="0" fontId="0" fillId="0" borderId="19" xfId="0" applyBorder="1"/>
    <xf numFmtId="0" fontId="0" fillId="0" borderId="3" xfId="0" applyBorder="1"/>
    <xf numFmtId="0" fontId="0" fillId="0" borderId="11" xfId="0" applyBorder="1"/>
    <xf numFmtId="0" fontId="5" fillId="5" borderId="20" xfId="0" applyFont="1" applyFill="1" applyBorder="1" applyAlignment="1">
      <alignment horizontal="left" vertical="center"/>
    </xf>
    <xf numFmtId="9" fontId="5" fillId="5" borderId="20" xfId="1" applyFont="1" applyFill="1" applyBorder="1" applyAlignment="1">
      <alignment horizontal="left" vertical="center"/>
    </xf>
    <xf numFmtId="0" fontId="6" fillId="5" borderId="20" xfId="0" applyFont="1" applyFill="1" applyBorder="1" applyAlignment="1">
      <alignment horizontal="left"/>
    </xf>
    <xf numFmtId="0" fontId="0" fillId="0" borderId="21" xfId="0" pivotButton="1" applyBorder="1"/>
    <xf numFmtId="0" fontId="0" fillId="0" borderId="22" xfId="0" applyBorder="1"/>
    <xf numFmtId="0" fontId="4" fillId="2" borderId="14" xfId="0" applyFont="1" applyFill="1" applyBorder="1" applyAlignment="1">
      <alignment horizont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0" fillId="0" borderId="21" xfId="0" applyBorder="1" applyAlignment="1">
      <alignment horizontal="left"/>
    </xf>
    <xf numFmtId="0" fontId="0" fillId="0" borderId="22" xfId="0" applyNumberFormat="1" applyBorder="1"/>
    <xf numFmtId="0" fontId="0" fillId="0" borderId="23" xfId="0" applyBorder="1" applyAlignment="1">
      <alignment horizontal="left"/>
    </xf>
    <xf numFmtId="0" fontId="0" fillId="0" borderId="24" xfId="0" applyNumberFormat="1" applyBorder="1"/>
    <xf numFmtId="0" fontId="0" fillId="0" borderId="25" xfId="0" applyBorder="1" applyAlignment="1">
      <alignment horizontal="left"/>
    </xf>
    <xf numFmtId="0" fontId="0" fillId="0" borderId="26" xfId="0" applyNumberFormat="1" applyBorder="1"/>
  </cellXfs>
  <cellStyles count="2">
    <cellStyle name="Normal" xfId="0" builtinId="0"/>
    <cellStyle name="Percent" xfId="1" builtinId="5"/>
  </cellStyles>
  <dxfs count="21">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left" vertical="center"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bottom style="medium">
          <color indexed="64"/>
        </bottom>
      </border>
    </dxf>
    <dxf>
      <font>
        <b/>
        <strike val="0"/>
        <outline val="0"/>
        <shadow val="0"/>
        <u val="none"/>
        <vertAlign val="baseline"/>
        <sz val="12"/>
        <name val="Arial"/>
        <scheme val="minor"/>
      </font>
      <fill>
        <patternFill patternType="solid">
          <fgColor indexed="64"/>
          <bgColor theme="6" tint="-0.249977111117893"/>
        </patternFill>
      </fill>
      <alignment horizontal="left"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00000000-0011-0000-FFFF-FFFF00000000}">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Analysis.xlsx]Saving Behavior!PivotTable2</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Savings Behavior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a:sp3d/>
        </c:spPr>
        <c:dLbl>
          <c:idx val="0"/>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a:pPr>
                  <a:t>[CATEGORY NAME]</a:t>
                </a:fld>
                <a:r>
                  <a:rPr lang="en-US" sz="1000" b="1" baseline="0">
                    <a:solidFill>
                      <a:schemeClr val="bg1"/>
                    </a:solidFill>
                  </a:rPr>
                  <a:t>, </a:t>
                </a:r>
                <a:fld id="{7D926293-8C7F-4B2F-8718-83A4507A1CFA}"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a:noFill/>
          </a:ln>
          <a:effectLst/>
          <a:sp3d/>
        </c:spPr>
        <c:dLbl>
          <c:idx val="0"/>
          <c:layout>
            <c:manualLayout>
              <c:x val="-9.7222222222222238E-2"/>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bg1"/>
                    </a:solidFill>
                  </a:rPr>
                  <a:pPr>
                    <a:defRPr/>
                  </a:pPr>
                  <a:t>[CATEGORY NAME]</a:t>
                </a:fld>
                <a:r>
                  <a:rPr lang="en-US" sz="1000" b="1" baseline="0">
                    <a:solidFill>
                      <a:schemeClr val="bg1"/>
                    </a:solidFill>
                  </a:rPr>
                  <a:t>, </a:t>
                </a:r>
                <a:fld id="{563921C2-2970-4E39-8F8E-AF4728E76485}"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092F67C-EA71-4BD9-9B0F-C9B2694A76FF}" type="CATEGORYNAME">
                  <a:rPr lang="en-US" sz="1000" b="1"/>
                  <a:pPr>
                    <a:defRPr/>
                  </a:pPr>
                  <a:t>[CATEGORY NAME]</a:t>
                </a:fld>
                <a:r>
                  <a:rPr lang="en-US" sz="1000" b="1" baseline="0"/>
                  <a:t>, </a:t>
                </a:r>
                <a:fld id="{340FB418-8E43-47BA-9303-7415809955C2}" type="VALUE">
                  <a:rPr lang="en-US" sz="1000" b="1" baseline="0"/>
                  <a:pPr>
                    <a:defRPr/>
                  </a:pPr>
                  <a:t>[VALUE]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4"/>
          </a:solidFill>
          <a:ln>
            <a:noFill/>
          </a:ln>
          <a:effectLst/>
          <a:sp3d/>
        </c:spPr>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a:pPr>
                  <a:t>[CATEGORY NAME]</a:t>
                </a:fld>
                <a:r>
                  <a:rPr lang="en-US" sz="1000" b="1" baseline="0">
                    <a:solidFill>
                      <a:schemeClr val="bg1"/>
                    </a:solidFill>
                  </a:rPr>
                  <a:t>, </a:t>
                </a:r>
                <a:fld id="{E75F8B8D-D6E0-404F-A5F3-5FA21321316C}"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'Saving Behavior'!$B$4:$B$5</c:f>
              <c:strCache>
                <c:ptCount val="1"/>
                <c:pt idx="0">
                  <c:v>₹1000 - ₹3000</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0-4ED7-4E6C-A0D7-F6C704CF5CC7}"/>
              </c:ext>
            </c:extLst>
          </c:dPt>
          <c:dLbls>
            <c:dLbl>
              <c:idx val="1"/>
              <c:tx>
                <c:rich>
                  <a:bodyPr/>
                  <a:lstStyle/>
                  <a:p>
                    <a:fld id="{9092F67C-EA71-4BD9-9B0F-C9B2694A76FF}" type="CATEGORYNAME">
                      <a:rPr lang="en-US" sz="1000" b="1"/>
                      <a:pPr/>
                      <a:t>[CATEGORY NAME]</a:t>
                    </a:fld>
                    <a:r>
                      <a:rPr lang="en-US" sz="1000" b="1" baseline="0"/>
                      <a:t>, </a:t>
                    </a:r>
                    <a:fld id="{340FB418-8E43-47BA-9303-7415809955C2}" type="VALUE">
                      <a:rPr lang="en-US" sz="1000" b="1" baseline="0"/>
                      <a:pPr/>
                      <a:t>[VALUE]</a:t>
                    </a:fld>
                    <a:endParaRPr lang="en-US" sz="1000"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ED7-4E6C-A0D7-F6C704CF5CC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Behavior'!$B$6:$B$7</c:f>
              <c:numCache>
                <c:formatCode>General</c:formatCode>
                <c:ptCount val="2"/>
                <c:pt idx="1">
                  <c:v>2</c:v>
                </c:pt>
              </c:numCache>
            </c:numRef>
          </c:val>
          <c:extLst>
            <c:ext xmlns:c16="http://schemas.microsoft.com/office/drawing/2014/chart" uri="{C3380CC4-5D6E-409C-BE32-E72D297353CC}">
              <c16:uniqueId val="{00000004-2217-441F-BB36-07A6E953EDF7}"/>
            </c:ext>
          </c:extLst>
        </c:ser>
        <c:ser>
          <c:idx val="1"/>
          <c:order val="1"/>
          <c:tx>
            <c:strRef>
              <c:f>'Saving Behavior'!$C$4:$C$5</c:f>
              <c:strCache>
                <c:ptCount val="1"/>
                <c:pt idx="0">
                  <c:v>Above ₹3000</c:v>
                </c:pt>
              </c:strCache>
            </c:strRef>
          </c:tx>
          <c:spPr>
            <a:solidFill>
              <a:schemeClr val="accent2"/>
            </a:solidFill>
            <a:ln>
              <a:noFill/>
            </a:ln>
            <a:effectLst/>
            <a:sp3d/>
          </c:spPr>
          <c:invertIfNegative val="0"/>
          <c:dPt>
            <c:idx val="1"/>
            <c:invertIfNegative val="0"/>
            <c:bubble3D val="0"/>
            <c:extLst>
              <c:ext xmlns:c16="http://schemas.microsoft.com/office/drawing/2014/chart" uri="{C3380CC4-5D6E-409C-BE32-E72D297353CC}">
                <c16:uniqueId val="{00000001-4ED7-4E6C-A0D7-F6C704CF5CC7}"/>
              </c:ext>
            </c:extLst>
          </c:dPt>
          <c:dLbls>
            <c:dLbl>
              <c:idx val="1"/>
              <c:layout>
                <c:manualLayout>
                  <c:x val="-9.7222222222222238E-2"/>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bg1"/>
                        </a:solidFill>
                      </a:rPr>
                      <a:pPr>
                        <a:defRPr/>
                      </a:pPr>
                      <a:t>[CATEGORY NAME]</a:t>
                    </a:fld>
                    <a:r>
                      <a:rPr lang="en-US" sz="1000" b="1" baseline="0">
                        <a:solidFill>
                          <a:schemeClr val="bg1"/>
                        </a:solidFill>
                      </a:rPr>
                      <a:t>, </a:t>
                    </a:r>
                    <a:fld id="{563921C2-2970-4E39-8F8E-AF4728E76485}"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4ED7-4E6C-A0D7-F6C704CF5CC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Behavior'!$C$6:$C$7</c:f>
              <c:numCache>
                <c:formatCode>General</c:formatCode>
                <c:ptCount val="2"/>
                <c:pt idx="1">
                  <c:v>4</c:v>
                </c:pt>
              </c:numCache>
            </c:numRef>
          </c:val>
          <c:extLst>
            <c:ext xmlns:c16="http://schemas.microsoft.com/office/drawing/2014/chart" uri="{C3380CC4-5D6E-409C-BE32-E72D297353CC}">
              <c16:uniqueId val="{00000005-2217-441F-BB36-07A6E953EDF7}"/>
            </c:ext>
          </c:extLst>
        </c:ser>
        <c:ser>
          <c:idx val="2"/>
          <c:order val="2"/>
          <c:tx>
            <c:strRef>
              <c:f>'Saving Behavior'!$D$4:$D$5</c:f>
              <c:strCache>
                <c:ptCount val="1"/>
                <c:pt idx="0">
                  <c:v>Less than ₹1000</c:v>
                </c:pt>
              </c:strCache>
            </c:strRef>
          </c:tx>
          <c:spPr>
            <a:solidFill>
              <a:schemeClr val="accent3"/>
            </a:solidFill>
            <a:ln>
              <a:noFill/>
            </a:ln>
            <a:effectLst/>
            <a:sp3d/>
          </c:spPr>
          <c:invertIfNegative val="0"/>
          <c:dPt>
            <c:idx val="1"/>
            <c:invertIfNegative val="0"/>
            <c:bubble3D val="0"/>
            <c:spPr>
              <a:solidFill>
                <a:schemeClr val="accent3"/>
              </a:solidFill>
              <a:ln>
                <a:noFill/>
              </a:ln>
              <a:effectLst/>
              <a:sp3d/>
            </c:spPr>
            <c:extLst>
              <c:ext xmlns:c16="http://schemas.microsoft.com/office/drawing/2014/chart" uri="{C3380CC4-5D6E-409C-BE32-E72D297353CC}">
                <c16:uniqueId val="{00000003-4ED7-4E6C-A0D7-F6C704CF5CC7}"/>
              </c:ext>
            </c:extLst>
          </c:dPt>
          <c:dLbls>
            <c:dLbl>
              <c:idx val="1"/>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a:pPr>
                      <a:t>[CATEGORY NAME]</a:t>
                    </a:fld>
                    <a:r>
                      <a:rPr lang="en-US" sz="1000" b="1" baseline="0">
                        <a:solidFill>
                          <a:schemeClr val="bg1"/>
                        </a:solidFill>
                      </a:rPr>
                      <a:t>, </a:t>
                    </a:r>
                    <a:fld id="{7D926293-8C7F-4B2F-8718-83A4507A1CFA}"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4ED7-4E6C-A0D7-F6C704CF5CC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Behavior'!$D$6:$D$7</c:f>
              <c:numCache>
                <c:formatCode>General</c:formatCode>
                <c:ptCount val="2"/>
                <c:pt idx="1">
                  <c:v>22</c:v>
                </c:pt>
              </c:numCache>
            </c:numRef>
          </c:val>
          <c:extLst>
            <c:ext xmlns:c16="http://schemas.microsoft.com/office/drawing/2014/chart" uri="{C3380CC4-5D6E-409C-BE32-E72D297353CC}">
              <c16:uniqueId val="{00000006-2217-441F-BB36-07A6E953EDF7}"/>
            </c:ext>
          </c:extLst>
        </c:ser>
        <c:ser>
          <c:idx val="3"/>
          <c:order val="3"/>
          <c:tx>
            <c:strRef>
              <c:f>'Saving Behavior'!$E$4:$E$5</c:f>
              <c:strCache>
                <c:ptCount val="1"/>
                <c:pt idx="0">
                  <c:v>unknown</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5-4ED7-4E6C-A0D7-F6C704CF5CC7}"/>
              </c:ext>
            </c:extLst>
          </c:dPt>
          <c:dLbls>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a:pPr>
                      <a:t>[CATEGORY NAME]</a:t>
                    </a:fld>
                    <a:r>
                      <a:rPr lang="en-US" sz="1000" b="1" baseline="0">
                        <a:solidFill>
                          <a:schemeClr val="bg1"/>
                        </a:solidFill>
                      </a:rPr>
                      <a:t>, </a:t>
                    </a:r>
                    <a:fld id="{E75F8B8D-D6E0-404F-A5F3-5FA21321316C}"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4ED7-4E6C-A0D7-F6C704CF5CC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Behavior'!$E$6:$E$7</c:f>
              <c:numCache>
                <c:formatCode>General</c:formatCode>
                <c:ptCount val="2"/>
                <c:pt idx="0">
                  <c:v>19</c:v>
                </c:pt>
              </c:numCache>
            </c:numRef>
          </c:val>
          <c:extLst>
            <c:ext xmlns:c16="http://schemas.microsoft.com/office/drawing/2014/chart" uri="{C3380CC4-5D6E-409C-BE32-E72D297353CC}">
              <c16:uniqueId val="{00000007-2217-441F-BB36-07A6E953EDF7}"/>
            </c:ext>
          </c:extLst>
        </c:ser>
        <c:dLbls>
          <c:showLegendKey val="0"/>
          <c:showVal val="0"/>
          <c:showCatName val="0"/>
          <c:showSerName val="0"/>
          <c:showPercent val="0"/>
          <c:showBubbleSize val="0"/>
        </c:dLbls>
        <c:gapWidth val="150"/>
        <c:shape val="box"/>
        <c:axId val="437678655"/>
        <c:axId val="437687295"/>
        <c:axId val="0"/>
      </c:bar3DChart>
      <c:catAx>
        <c:axId val="437678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7295"/>
        <c:crosses val="autoZero"/>
        <c:auto val="1"/>
        <c:lblAlgn val="ctr"/>
        <c:lblOffset val="100"/>
        <c:noMultiLvlLbl val="0"/>
      </c:catAx>
      <c:valAx>
        <c:axId val="43768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Analysis.xlsx]Spending Category Count!PivotTable3</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Spending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a:pPr>
                  <a:t>[CATEGORY NAME]</a:t>
                </a:fld>
                <a:r>
                  <a:rPr lang="en-US" sz="1000" b="1" baseline="0">
                    <a:solidFill>
                      <a:schemeClr val="bg1"/>
                    </a:solidFill>
                  </a:rPr>
                  <a:t>
</a:t>
                </a:r>
                <a:fld id="{25C89442-5BC9-439E-A65C-C71132B2B067}"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a:pPr>
                  <a:t>[CATEGORY NAME]</a:t>
                </a:fld>
                <a:r>
                  <a:rPr lang="en-US" sz="1000" b="1" baseline="0">
                    <a:solidFill>
                      <a:schemeClr val="bg1"/>
                    </a:solidFill>
                  </a:rPr>
                  <a:t>
</a:t>
                </a:r>
                <a:fld id="{87701126-BC74-40F4-B6E7-F7AE6D2C0EFD}"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37CD06F-09D3-4D03-8509-75CEB0E76332}" type="CATEGORYNAME">
                  <a:rPr lang="en-US" sz="1000" b="1"/>
                  <a:pPr>
                    <a:defRPr/>
                  </a:pPr>
                  <a:t>[CATEGORY NAME]</a:t>
                </a:fld>
                <a:r>
                  <a:rPr lang="en-US" sz="1000" b="1" baseline="0"/>
                  <a:t>
</a:t>
                </a:r>
                <a:fld id="{4ACB6111-DA60-4ED7-9AB7-5D4C458D1FEF}" type="PERCENTAGE">
                  <a:rPr lang="en-US" sz="1000" b="1" baseline="0"/>
                  <a:pPr>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4CA4805-068C-48F1-8CFE-528BCD788556}" type="CATEGORYNAME">
                  <a:rPr lang="en-US" sz="1000" b="1"/>
                  <a:pPr>
                    <a:defRPr/>
                  </a:pPr>
                  <a:t>[CATEGORY NAME]</a:t>
                </a:fld>
                <a:r>
                  <a:rPr lang="en-US" sz="1000" b="1" baseline="0"/>
                  <a:t>
</a:t>
                </a:r>
                <a:fld id="{DA085EE3-BD53-489B-8C1F-1278C1EC4455}" type="PERCENTAGE">
                  <a:rPr lang="en-US" sz="1000" b="1" baseline="0"/>
                  <a:pPr>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9424A30-0036-4C97-A8B4-032E43B555F1}" type="CATEGORYNAME">
                  <a:rPr lang="en-US" sz="900" b="1"/>
                  <a:pPr>
                    <a:defRPr/>
                  </a:pPr>
                  <a:t>[CATEGORY NAME]</a:t>
                </a:fld>
                <a:r>
                  <a:rPr lang="en-US" sz="900" b="1" baseline="0"/>
                  <a:t>
</a:t>
                </a:r>
                <a:fld id="{0474AAAA-D899-4F0A-9F34-BA3D15454D7D}" type="PERCENTAGE">
                  <a:rPr lang="en-US" sz="900" b="1" baseline="0"/>
                  <a:pPr>
                    <a:defRPr/>
                  </a:pPr>
                  <a:t>[PERCENTAGE]</a:t>
                </a:fld>
                <a:endParaRPr lang="en-US" sz="9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'Spending Category Count'!$B$5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B0-4930-A71D-0B2577BE5E16}"/>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B0-4930-A71D-0B2577BE5E16}"/>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B0-4930-A71D-0B2577BE5E16}"/>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B0-4930-A71D-0B2577BE5E16}"/>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B0-4930-A71D-0B2577BE5E16}"/>
              </c:ext>
            </c:extLst>
          </c:dPt>
          <c:dLbls>
            <c:dLbl>
              <c:idx val="0"/>
              <c:tx>
                <c:rich>
                  <a:bodyPr/>
                  <a:lstStyle/>
                  <a:p>
                    <a:fld id="{49424A30-0036-4C97-A8B4-032E43B555F1}" type="CATEGORYNAME">
                      <a:rPr lang="en-US" sz="900" b="1"/>
                      <a:pPr/>
                      <a:t>[CATEGORY NAME]</a:t>
                    </a:fld>
                    <a:r>
                      <a:rPr lang="en-US" sz="900" b="1" baseline="0"/>
                      <a:t>
</a:t>
                    </a:r>
                    <a:fld id="{0474AAAA-D899-4F0A-9F34-BA3D15454D7D}" type="PERCENTAGE">
                      <a:rPr lang="en-US" sz="900" b="1" baseline="0"/>
                      <a:pPr/>
                      <a:t>[PERCENTAGE]</a:t>
                    </a:fld>
                    <a:endParaRPr lang="en-US" sz="9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B0-4930-A71D-0B2577BE5E16}"/>
                </c:ext>
              </c:extLst>
            </c:dLbl>
            <c:dLbl>
              <c:idx val="1"/>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a:pPr>
                      <a:t>[CATEGORY NAME]</a:t>
                    </a:fld>
                    <a:r>
                      <a:rPr lang="en-US" sz="1000" b="1" baseline="0">
                        <a:solidFill>
                          <a:schemeClr val="bg1"/>
                        </a:solidFill>
                      </a:rPr>
                      <a:t>
</a:t>
                    </a:r>
                    <a:fld id="{25C89442-5BC9-439E-A65C-C71132B2B067}"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54B0-4930-A71D-0B2577BE5E16}"/>
                </c:ext>
              </c:extLst>
            </c:dLbl>
            <c:dLbl>
              <c:idx val="2"/>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a:pPr>
                      <a:t>[CATEGORY NAME]</a:t>
                    </a:fld>
                    <a:r>
                      <a:rPr lang="en-US" sz="1000" b="1" baseline="0">
                        <a:solidFill>
                          <a:schemeClr val="bg1"/>
                        </a:solidFill>
                      </a:rPr>
                      <a:t>
</a:t>
                    </a:r>
                    <a:fld id="{87701126-BC74-40F4-B6E7-F7AE6D2C0EFD}"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54B0-4930-A71D-0B2577BE5E16}"/>
                </c:ext>
              </c:extLst>
            </c:dLbl>
            <c:dLbl>
              <c:idx val="3"/>
              <c:tx>
                <c:rich>
                  <a:bodyPr/>
                  <a:lstStyle/>
                  <a:p>
                    <a:fld id="{737CD06F-09D3-4D03-8509-75CEB0E76332}" type="CATEGORYNAME">
                      <a:rPr lang="en-US" sz="1000" b="1"/>
                      <a:pPr/>
                      <a:t>[CATEGORY NAME]</a:t>
                    </a:fld>
                    <a:r>
                      <a:rPr lang="en-US" sz="1000" b="1" baseline="0"/>
                      <a:t>
</a:t>
                    </a:r>
                    <a:fld id="{4ACB6111-DA60-4ED7-9AB7-5D4C458D1FEF}" type="PERCENTAGE">
                      <a:rPr lang="en-US" sz="1000" b="1" baseline="0"/>
                      <a:pPr/>
                      <a:t>[PERCENTAGE]</a:t>
                    </a:fld>
                    <a:endParaRPr lang="en-US" sz="10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4B0-4930-A71D-0B2577BE5E16}"/>
                </c:ext>
              </c:extLst>
            </c:dLbl>
            <c:dLbl>
              <c:idx val="4"/>
              <c:tx>
                <c:rich>
                  <a:bodyPr/>
                  <a:lstStyle/>
                  <a:p>
                    <a:fld id="{24CA4805-068C-48F1-8CFE-528BCD788556}" type="CATEGORYNAME">
                      <a:rPr lang="en-US" sz="1000" b="1"/>
                      <a:pPr/>
                      <a:t>[CATEGORY NAME]</a:t>
                    </a:fld>
                    <a:r>
                      <a:rPr lang="en-US" sz="1000" b="1" baseline="0"/>
                      <a:t>
</a:t>
                    </a:r>
                    <a:fld id="{DA085EE3-BD53-489B-8C1F-1278C1EC4455}" type="PERCENTAGE">
                      <a:rPr lang="en-US" sz="1000" b="1" baseline="0"/>
                      <a:pPr/>
                      <a:t>[PERCENTAGE]</a:t>
                    </a:fld>
                    <a:endParaRPr lang="en-US" sz="10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4B0-4930-A71D-0B2577BE5E16}"/>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'Spending Category Count'!$A$6:$A$10</c:f>
              <c:strCache>
                <c:ptCount val="5"/>
                <c:pt idx="0">
                  <c:v>Entertainment</c:v>
                </c:pt>
                <c:pt idx="1">
                  <c:v>Food</c:v>
                </c:pt>
                <c:pt idx="2">
                  <c:v>Others</c:v>
                </c:pt>
                <c:pt idx="3">
                  <c:v>Shopping</c:v>
                </c:pt>
                <c:pt idx="4">
                  <c:v>Travel</c:v>
                </c:pt>
              </c:strCache>
            </c:strRef>
          </c:cat>
          <c:val>
            <c:numRef>
              <c:f>'Spending Category Count'!$B$6:$B$10</c:f>
              <c:numCache>
                <c:formatCode>General</c:formatCode>
                <c:ptCount val="5"/>
                <c:pt idx="0">
                  <c:v>2</c:v>
                </c:pt>
                <c:pt idx="1">
                  <c:v>32</c:v>
                </c:pt>
                <c:pt idx="2">
                  <c:v>8</c:v>
                </c:pt>
                <c:pt idx="3">
                  <c:v>3</c:v>
                </c:pt>
                <c:pt idx="4">
                  <c:v>2</c:v>
                </c:pt>
              </c:numCache>
            </c:numRef>
          </c:val>
          <c:extLst>
            <c:ext xmlns:c16="http://schemas.microsoft.com/office/drawing/2014/chart" uri="{C3380CC4-5D6E-409C-BE32-E72D297353CC}">
              <c16:uniqueId val="{00000007-6F6B-4FD4-81FE-669253131C3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Analysis.xlsx]Comparison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Allowance vs Avg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9588801399825"/>
          <c:y val="0.15787037037037038"/>
          <c:w val="0.74633245844269469"/>
          <c:h val="0.68185221638961802"/>
        </c:manualLayout>
      </c:layout>
      <c:bar3DChart>
        <c:barDir val="col"/>
        <c:grouping val="clustered"/>
        <c:varyColors val="0"/>
        <c:ser>
          <c:idx val="0"/>
          <c:order val="0"/>
          <c:tx>
            <c:strRef>
              <c:f>'Comparison '!$B$3</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'!$A$4:$A$8</c:f>
              <c:strCache>
                <c:ptCount val="4"/>
                <c:pt idx="0">
                  <c:v>₹2000 - ₹5000</c:v>
                </c:pt>
                <c:pt idx="1">
                  <c:v>₹5000 - ₹10000</c:v>
                </c:pt>
                <c:pt idx="2">
                  <c:v>Above ₹10000</c:v>
                </c:pt>
                <c:pt idx="3">
                  <c:v>Less than ₹2000</c:v>
                </c:pt>
              </c:strCache>
            </c:strRef>
          </c:cat>
          <c:val>
            <c:numRef>
              <c:f>'Comparison '!$B$4:$B$8</c:f>
              <c:numCache>
                <c:formatCode>General</c:formatCode>
                <c:ptCount val="4"/>
                <c:pt idx="0">
                  <c:v>3100</c:v>
                </c:pt>
                <c:pt idx="1">
                  <c:v>3500</c:v>
                </c:pt>
                <c:pt idx="2">
                  <c:v>9833.3333333333339</c:v>
                </c:pt>
                <c:pt idx="3">
                  <c:v>4371.4285714285716</c:v>
                </c:pt>
              </c:numCache>
            </c:numRef>
          </c:val>
          <c:extLst>
            <c:ext xmlns:c16="http://schemas.microsoft.com/office/drawing/2014/chart" uri="{C3380CC4-5D6E-409C-BE32-E72D297353CC}">
              <c16:uniqueId val="{00000000-3109-416A-BDF0-E0B8AB70FD4D}"/>
            </c:ext>
          </c:extLst>
        </c:ser>
        <c:dLbls>
          <c:showLegendKey val="0"/>
          <c:showVal val="1"/>
          <c:showCatName val="0"/>
          <c:showSerName val="0"/>
          <c:showPercent val="0"/>
          <c:showBubbleSize val="0"/>
        </c:dLbls>
        <c:gapWidth val="150"/>
        <c:shape val="box"/>
        <c:axId val="1035021903"/>
        <c:axId val="1035032943"/>
        <c:axId val="0"/>
      </c:bar3DChart>
      <c:catAx>
        <c:axId val="103502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32943"/>
        <c:crosses val="autoZero"/>
        <c:auto val="1"/>
        <c:lblAlgn val="ctr"/>
        <c:lblOffset val="100"/>
        <c:noMultiLvlLbl val="0"/>
      </c:catAx>
      <c:valAx>
        <c:axId val="103503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Analysis.xlsx]Comparison !PivotTable1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Allowances</a:t>
            </a:r>
            <a:r>
              <a:rPr lang="en-IN" baseline="0"/>
              <a:t> Vs Spent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277777777777778"/>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388888888888889"/>
              <c:y val="0.1851851851851851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6.9444444444444337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'Comparison '!$B$3</c:f>
              <c:strCache>
                <c:ptCount val="1"/>
                <c:pt idx="0">
                  <c:v>Total</c:v>
                </c:pt>
              </c:strCache>
            </c:strRef>
          </c:tx>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4-3B60-4AB2-A6EB-63F18BABF84B}"/>
              </c:ext>
            </c:extLst>
          </c:dPt>
          <c:dPt>
            <c:idx val="1"/>
            <c:bubble3D val="0"/>
            <c:explosion val="6"/>
            <c:spPr>
              <a:solidFill>
                <a:schemeClr val="accent2"/>
              </a:solidFill>
              <a:ln w="19050">
                <a:solidFill>
                  <a:schemeClr val="lt1"/>
                </a:solidFill>
              </a:ln>
              <a:effectLst/>
            </c:spPr>
            <c:extLst>
              <c:ext xmlns:c16="http://schemas.microsoft.com/office/drawing/2014/chart" uri="{C3380CC4-5D6E-409C-BE32-E72D297353CC}">
                <c16:uniqueId val="{00000005-3B60-4AB2-A6EB-63F18BABF8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3B60-4AB2-A6EB-63F18BABF8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3B60-4AB2-A6EB-63F18BABF84B}"/>
              </c:ext>
            </c:extLst>
          </c:dPt>
          <c:dLbls>
            <c:dLbl>
              <c:idx val="1"/>
              <c:layout>
                <c:manualLayout>
                  <c:x val="6.9444444444444337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60-4AB2-A6EB-63F18BABF84B}"/>
                </c:ext>
              </c:extLst>
            </c:dLbl>
            <c:dLbl>
              <c:idx val="2"/>
              <c:layout>
                <c:manualLayout>
                  <c:x val="0.20277777777777778"/>
                  <c:y val="-1.851851851851851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3B60-4AB2-A6EB-63F18BABF84B}"/>
                </c:ext>
              </c:extLst>
            </c:dLbl>
            <c:dLbl>
              <c:idx val="3"/>
              <c:layout>
                <c:manualLayout>
                  <c:x val="-0.11388888888888889"/>
                  <c:y val="0.18518518518518517"/>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B60-4AB2-A6EB-63F18BABF84B}"/>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'Comparison '!$A$4:$A$8</c:f>
              <c:strCache>
                <c:ptCount val="4"/>
                <c:pt idx="0">
                  <c:v>₹2000 - ₹5000</c:v>
                </c:pt>
                <c:pt idx="1">
                  <c:v>₹5000 - ₹10000</c:v>
                </c:pt>
                <c:pt idx="2">
                  <c:v>Above ₹10000</c:v>
                </c:pt>
                <c:pt idx="3">
                  <c:v>Less than ₹2000</c:v>
                </c:pt>
              </c:strCache>
            </c:strRef>
          </c:cat>
          <c:val>
            <c:numRef>
              <c:f>'Comparison '!$B$4:$B$8</c:f>
              <c:numCache>
                <c:formatCode>General</c:formatCode>
                <c:ptCount val="4"/>
                <c:pt idx="0">
                  <c:v>3100</c:v>
                </c:pt>
                <c:pt idx="1">
                  <c:v>3500</c:v>
                </c:pt>
                <c:pt idx="2">
                  <c:v>9833.3333333333339</c:v>
                </c:pt>
                <c:pt idx="3">
                  <c:v>4371.4285714285716</c:v>
                </c:pt>
              </c:numCache>
            </c:numRef>
          </c:val>
          <c:extLst>
            <c:ext xmlns:c16="http://schemas.microsoft.com/office/drawing/2014/chart" uri="{C3380CC4-5D6E-409C-BE32-E72D297353CC}">
              <c16:uniqueId val="{00000000-3B60-4AB2-A6EB-63F18BABF84B}"/>
            </c:ext>
          </c:extLst>
        </c:ser>
        <c:dLbls>
          <c:dLblPos val="outEnd"/>
          <c:showLegendKey val="0"/>
          <c:showVal val="1"/>
          <c:showCatName val="0"/>
          <c:showSerName val="0"/>
          <c:showPercent val="0"/>
          <c:showBubbleSize val="0"/>
          <c:showLeaderLines val="0"/>
        </c:dLbls>
        <c:firstSliceAng val="7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Analysis.xlsx]Multiple comparison graph!PivotTable1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rgbClr val="000000">
                    <a:lumMod val="65000"/>
                    <a:lumOff val="35000"/>
                  </a:srgbClr>
                </a:solidFill>
              </a:rPr>
              <a:t>Genderwise Distribution of Spending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'Multiple comparison graph'!$B$3:$B$4</c:f>
              <c:strCache>
                <c:ptCount val="1"/>
                <c:pt idx="0">
                  <c:v>Entertainment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graph'!$B$5:$B$7</c:f>
              <c:numCache>
                <c:formatCode>General</c:formatCode>
                <c:ptCount val="2"/>
                <c:pt idx="0">
                  <c:v>1</c:v>
                </c:pt>
                <c:pt idx="1">
                  <c:v>1</c:v>
                </c:pt>
              </c:numCache>
            </c:numRef>
          </c:val>
          <c:extLst>
            <c:ext xmlns:c16="http://schemas.microsoft.com/office/drawing/2014/chart" uri="{C3380CC4-5D6E-409C-BE32-E72D297353CC}">
              <c16:uniqueId val="{00000000-208D-4933-AD37-A9101BCBE129}"/>
            </c:ext>
          </c:extLst>
        </c:ser>
        <c:ser>
          <c:idx val="1"/>
          <c:order val="1"/>
          <c:tx>
            <c:strRef>
              <c:f>'Multiple comparison graph'!$C$3:$C$4</c:f>
              <c:strCache>
                <c:ptCount val="1"/>
                <c:pt idx="0">
                  <c:v>Food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graph'!$C$5:$C$7</c:f>
              <c:numCache>
                <c:formatCode>General</c:formatCode>
                <c:ptCount val="2"/>
                <c:pt idx="0">
                  <c:v>9</c:v>
                </c:pt>
                <c:pt idx="1">
                  <c:v>23</c:v>
                </c:pt>
              </c:numCache>
            </c:numRef>
          </c:val>
          <c:extLst>
            <c:ext xmlns:c16="http://schemas.microsoft.com/office/drawing/2014/chart" uri="{C3380CC4-5D6E-409C-BE32-E72D297353CC}">
              <c16:uniqueId val="{00000008-1C6F-451D-802A-8A8E53EB0A25}"/>
            </c:ext>
          </c:extLst>
        </c:ser>
        <c:ser>
          <c:idx val="2"/>
          <c:order val="2"/>
          <c:tx>
            <c:strRef>
              <c:f>'Multiple comparison graph'!$D$3:$D$4</c:f>
              <c:strCache>
                <c:ptCount val="1"/>
                <c:pt idx="0">
                  <c:v>Others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graph'!$D$5:$D$7</c:f>
              <c:numCache>
                <c:formatCode>General</c:formatCode>
                <c:ptCount val="2"/>
                <c:pt idx="0">
                  <c:v>5</c:v>
                </c:pt>
                <c:pt idx="1">
                  <c:v>3</c:v>
                </c:pt>
              </c:numCache>
            </c:numRef>
          </c:val>
          <c:extLst>
            <c:ext xmlns:c16="http://schemas.microsoft.com/office/drawing/2014/chart" uri="{C3380CC4-5D6E-409C-BE32-E72D297353CC}">
              <c16:uniqueId val="{00000009-1C6F-451D-802A-8A8E53EB0A25}"/>
            </c:ext>
          </c:extLst>
        </c:ser>
        <c:ser>
          <c:idx val="3"/>
          <c:order val="3"/>
          <c:tx>
            <c:strRef>
              <c:f>'Multiple comparison graph'!$E$3:$E$4</c:f>
              <c:strCache>
                <c:ptCount val="1"/>
                <c:pt idx="0">
                  <c:v>Shopping</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graph'!$E$5:$E$7</c:f>
              <c:numCache>
                <c:formatCode>General</c:formatCode>
                <c:ptCount val="2"/>
                <c:pt idx="1">
                  <c:v>3</c:v>
                </c:pt>
              </c:numCache>
            </c:numRef>
          </c:val>
          <c:extLst>
            <c:ext xmlns:c16="http://schemas.microsoft.com/office/drawing/2014/chart" uri="{C3380CC4-5D6E-409C-BE32-E72D297353CC}">
              <c16:uniqueId val="{0000000A-1C6F-451D-802A-8A8E53EB0A25}"/>
            </c:ext>
          </c:extLst>
        </c:ser>
        <c:ser>
          <c:idx val="4"/>
          <c:order val="4"/>
          <c:tx>
            <c:strRef>
              <c:f>'Multiple comparison graph'!$F$3:$F$4</c:f>
              <c:strCache>
                <c:ptCount val="1"/>
                <c:pt idx="0">
                  <c:v>Travel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graph'!$F$5:$F$7</c:f>
              <c:numCache>
                <c:formatCode>General</c:formatCode>
                <c:ptCount val="2"/>
                <c:pt idx="1">
                  <c:v>2</c:v>
                </c:pt>
              </c:numCache>
            </c:numRef>
          </c:val>
          <c:extLst>
            <c:ext xmlns:c16="http://schemas.microsoft.com/office/drawing/2014/chart" uri="{C3380CC4-5D6E-409C-BE32-E72D297353CC}">
              <c16:uniqueId val="{0000000B-1C6F-451D-802A-8A8E53EB0A25}"/>
            </c:ext>
          </c:extLst>
        </c:ser>
        <c:dLbls>
          <c:showLegendKey val="0"/>
          <c:showVal val="1"/>
          <c:showCatName val="0"/>
          <c:showSerName val="0"/>
          <c:showPercent val="0"/>
          <c:showBubbleSize val="0"/>
        </c:dLbls>
        <c:gapWidth val="150"/>
        <c:shape val="box"/>
        <c:axId val="1035043503"/>
        <c:axId val="1035048783"/>
        <c:axId val="0"/>
      </c:bar3DChart>
      <c:catAx>
        <c:axId val="103504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8783"/>
        <c:crosses val="autoZero"/>
        <c:auto val="1"/>
        <c:lblAlgn val="ctr"/>
        <c:lblOffset val="100"/>
        <c:noMultiLvlLbl val="0"/>
      </c:catAx>
      <c:valAx>
        <c:axId val="103504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Analysis.xlsx]Payment method analysis!PivotTable4</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Payment Method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a:pPr>
                  <a:t>[CATEGORY NAME]</a:t>
                </a:fld>
                <a:r>
                  <a:rPr lang="en-US" sz="1000" b="1" baseline="0">
                    <a:solidFill>
                      <a:schemeClr val="bg1"/>
                    </a:solidFill>
                  </a:rPr>
                  <a:t>
</a:t>
                </a:r>
                <a:fld id="{6404B734-5E43-48E8-853B-74123A9C7DF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a:pPr>
                  <a:t>[CATEGORY NAME]</a:t>
                </a:fld>
                <a:r>
                  <a:rPr lang="en-US" sz="1000" b="1" baseline="0">
                    <a:solidFill>
                      <a:schemeClr val="bg1"/>
                    </a:solidFill>
                  </a:rPr>
                  <a:t>
</a:t>
                </a:r>
                <a:fld id="{83EF3FCC-C536-46DC-9F9C-53891FA57E10}"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1ECF130-CE96-4EFC-955D-84EE360E19FF}" type="CATEGORYNAME">
                  <a:rPr lang="en-US" sz="1000" b="1">
                    <a:solidFill>
                      <a:schemeClr val="tx2"/>
                    </a:solidFill>
                  </a:rPr>
                  <a:pPr>
                    <a:defRPr/>
                  </a:pPr>
                  <a:t>[CATEGORY NAME]</a:t>
                </a:fld>
                <a:r>
                  <a:rPr lang="en-US" sz="1000" b="1" baseline="0">
                    <a:solidFill>
                      <a:schemeClr val="tx2"/>
                    </a:solidFill>
                  </a:rPr>
                  <a:t>
</a:t>
                </a:r>
                <a:fld id="{CA8992AF-F03F-49CD-A85E-C6717F9ADA3F}" type="PERCENTAGE">
                  <a:rPr lang="en-US" sz="1000" b="1" baseline="0">
                    <a:solidFill>
                      <a:schemeClr val="tx2"/>
                    </a:solidFill>
                  </a:rPr>
                  <a:pPr>
                    <a:defRPr/>
                  </a:pPr>
                  <a:t>[PERCENTAGE]</a:t>
                </a:fld>
                <a:endParaRPr lang="en-US" sz="1000" b="1" baseline="0">
                  <a:solidFill>
                    <a:schemeClr val="tx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analysis'!$B$4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A0-41D2-ADCC-1ECBB2FBD3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A0-41D2-ADCC-1ECBB2FBD3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A0-41D2-ADCC-1ECBB2FBD3E5}"/>
              </c:ext>
            </c:extLst>
          </c:dPt>
          <c:dLbls>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a:pPr>
                      <a:t>[CATEGORY NAME]</a:t>
                    </a:fld>
                    <a:r>
                      <a:rPr lang="en-US" sz="1000" b="1" baseline="0">
                        <a:solidFill>
                          <a:schemeClr val="bg1"/>
                        </a:solidFill>
                      </a:rPr>
                      <a:t>
</a:t>
                    </a:r>
                    <a:fld id="{83EF3FCC-C536-46DC-9F9C-53891FA57E10}"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05A0-41D2-ADCC-1ECBB2FBD3E5}"/>
                </c:ext>
              </c:extLst>
            </c:dLbl>
            <c:dLbl>
              <c:idx val="1"/>
              <c:tx>
                <c:rich>
                  <a:bodyPr/>
                  <a:lstStyle/>
                  <a:p>
                    <a:fld id="{D1ECF130-CE96-4EFC-955D-84EE360E19FF}" type="CATEGORYNAME">
                      <a:rPr lang="en-US" sz="1000" b="1">
                        <a:solidFill>
                          <a:schemeClr val="tx2"/>
                        </a:solidFill>
                      </a:rPr>
                      <a:pPr/>
                      <a:t>[CATEGORY NAME]</a:t>
                    </a:fld>
                    <a:r>
                      <a:rPr lang="en-US" sz="1000" b="1" baseline="0">
                        <a:solidFill>
                          <a:schemeClr val="tx2"/>
                        </a:solidFill>
                      </a:rPr>
                      <a:t>
</a:t>
                    </a:r>
                    <a:fld id="{CA8992AF-F03F-49CD-A85E-C6717F9ADA3F}" type="PERCENTAGE">
                      <a:rPr lang="en-US" sz="1000" b="1" baseline="0">
                        <a:solidFill>
                          <a:schemeClr val="tx2"/>
                        </a:solidFill>
                      </a:rPr>
                      <a:pPr/>
                      <a:t>[PERCENTAGE]</a:t>
                    </a:fld>
                    <a:endParaRPr lang="en-US" sz="1000" b="1" baseline="0">
                      <a:solidFill>
                        <a:schemeClr val="tx2"/>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5A0-41D2-ADCC-1ECBB2FBD3E5}"/>
                </c:ext>
              </c:extLst>
            </c:dLbl>
            <c:dLbl>
              <c:idx val="2"/>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a:pPr>
                      <a:t>[CATEGORY NAME]</a:t>
                    </a:fld>
                    <a:r>
                      <a:rPr lang="en-US" sz="1000" b="1" baseline="0">
                        <a:solidFill>
                          <a:schemeClr val="bg1"/>
                        </a:solidFill>
                      </a:rPr>
                      <a:t>
</a:t>
                    </a:r>
                    <a:fld id="{6404B734-5E43-48E8-853B-74123A9C7DF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05A0-41D2-ADCC-1ECBB2FBD3E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analysis'!$A$5:$A$7</c:f>
              <c:strCache>
                <c:ptCount val="3"/>
                <c:pt idx="0">
                  <c:v>Cash</c:v>
                </c:pt>
                <c:pt idx="1">
                  <c:v>Debit/Credit Card</c:v>
                </c:pt>
                <c:pt idx="2">
                  <c:v>UPI</c:v>
                </c:pt>
              </c:strCache>
            </c:strRef>
          </c:cat>
          <c:val>
            <c:numRef>
              <c:f>'Payment method analysis'!$B$5:$B$7</c:f>
              <c:numCache>
                <c:formatCode>General</c:formatCode>
                <c:ptCount val="3"/>
                <c:pt idx="0">
                  <c:v>13</c:v>
                </c:pt>
                <c:pt idx="1">
                  <c:v>3</c:v>
                </c:pt>
                <c:pt idx="2">
                  <c:v>31</c:v>
                </c:pt>
              </c:numCache>
            </c:numRef>
          </c:val>
          <c:extLst>
            <c:ext xmlns:c16="http://schemas.microsoft.com/office/drawing/2014/chart" uri="{C3380CC4-5D6E-409C-BE32-E72D297353CC}">
              <c16:uniqueId val="{00000005-8A24-4C40-9080-6F07017D55BC}"/>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Analysis.xlsx]Gender Spending!PivotTable1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Spent: Male Vs Female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layout>
        <c:manualLayout>
          <c:xMode val="edge"/>
          <c:yMode val="edge"/>
          <c:x val="0.31180555555555556"/>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a:pPr>
                  <a:t>[CATEGORY NAME]</a:t>
                </a:fld>
                <a:r>
                  <a:rPr lang="en-US" sz="1000" baseline="0">
                    <a:solidFill>
                      <a:schemeClr val="bg1"/>
                    </a:solidFill>
                  </a:rPr>
                  <a:t>
</a:t>
                </a:r>
                <a:fld id="{415D76DD-F67D-43C4-8AD1-5E5097DF5DDB}" type="PERCENTAGE">
                  <a:rPr lang="en-US" sz="1000" baseline="0">
                    <a:solidFill>
                      <a:schemeClr val="bg1"/>
                    </a:solidFill>
                  </a:rPr>
                  <a:pPr>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166677602799649"/>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a:pPr>
                  <a:t>[CATEGORY NAME]</a:t>
                </a:fld>
                <a:r>
                  <a:rPr lang="en-US" baseline="0">
                    <a:solidFill>
                      <a:schemeClr val="bg1"/>
                    </a:solidFill>
                  </a:rPr>
                  <a:t>
</a:t>
                </a:r>
                <a:fld id="{D0933660-3126-490B-AB34-0B2015B11B5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205599300087492E-2"/>
                  <c:h val="0.16630249343832021"/>
                </c:manualLayout>
              </c15:layout>
              <c15:dlblFieldTable/>
              <c15:showDataLabelsRange val="0"/>
            </c:ext>
          </c:extLst>
        </c:dLbl>
      </c:pivotFmt>
    </c:pivotFmts>
    <c:plotArea>
      <c:layout/>
      <c:pieChart>
        <c:varyColors val="1"/>
        <c:ser>
          <c:idx val="0"/>
          <c:order val="0"/>
          <c:tx>
            <c:strRef>
              <c:f>'Gender Spending'!$B$3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CF-4744-9313-BE2E4EF85A5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BCF-4744-9313-BE2E4EF85A57}"/>
              </c:ext>
            </c:extLst>
          </c:dPt>
          <c:dLbls>
            <c:dLbl>
              <c:idx val="0"/>
              <c:layout>
                <c:manualLayout>
                  <c:x val="-0.12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a:pPr>
                      <a:t>[CATEGORY NAME]</a:t>
                    </a:fld>
                    <a:r>
                      <a:rPr lang="en-US" sz="1000" baseline="0">
                        <a:solidFill>
                          <a:schemeClr val="bg1"/>
                        </a:solidFill>
                      </a:rPr>
                      <a:t>
</a:t>
                    </a:r>
                    <a:fld id="{415D76DD-F67D-43C4-8AD1-5E5097DF5DDB}" type="PERCENTAGE">
                      <a:rPr lang="en-US" sz="1000" baseline="0">
                        <a:solidFill>
                          <a:schemeClr val="bg1"/>
                        </a:solidFill>
                      </a:rPr>
                      <a:pPr>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BCF-4744-9313-BE2E4EF85A57}"/>
                </c:ext>
              </c:extLst>
            </c:dLbl>
            <c:dLbl>
              <c:idx val="1"/>
              <c:layout>
                <c:manualLayout>
                  <c:x val="0.14166677602799649"/>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a:pPr>
                      <a:t>[CATEGORY NAME]</a:t>
                    </a:fld>
                    <a:r>
                      <a:rPr lang="en-US" baseline="0">
                        <a:solidFill>
                          <a:schemeClr val="bg1"/>
                        </a:solidFill>
                      </a:rPr>
                      <a:t>
</a:t>
                    </a:r>
                    <a:fld id="{D0933660-3126-490B-AB34-0B2015B11B5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205599300087492E-2"/>
                      <c:h val="0.16630249343832021"/>
                    </c:manualLayout>
                  </c15:layout>
                  <c15:dlblFieldTable/>
                  <c15:showDataLabelsRange val="0"/>
                </c:ext>
                <c:ext xmlns:c16="http://schemas.microsoft.com/office/drawing/2014/chart" uri="{C3380CC4-5D6E-409C-BE32-E72D297353CC}">
                  <c16:uniqueId val="{00000003-1BCF-4744-9313-BE2E4EF85A5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Spending'!$A$4:$A$6</c:f>
              <c:strCache>
                <c:ptCount val="2"/>
                <c:pt idx="0">
                  <c:v>Female</c:v>
                </c:pt>
                <c:pt idx="1">
                  <c:v>Male</c:v>
                </c:pt>
              </c:strCache>
            </c:strRef>
          </c:cat>
          <c:val>
            <c:numRef>
              <c:f>'Gender Spending'!$B$4:$B$6</c:f>
              <c:numCache>
                <c:formatCode>General</c:formatCode>
                <c:ptCount val="2"/>
                <c:pt idx="0">
                  <c:v>84500</c:v>
                </c:pt>
                <c:pt idx="1">
                  <c:v>146500</c:v>
                </c:pt>
              </c:numCache>
            </c:numRef>
          </c:val>
          <c:extLst>
            <c:ext xmlns:c16="http://schemas.microsoft.com/office/drawing/2014/chart" uri="{C3380CC4-5D6E-409C-BE32-E72D297353CC}">
              <c16:uniqueId val="{00000000-B45F-4703-9E09-0186D46BCA7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Analysis.xlsx]Multiple comparison graph!PivotTable1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rgbClr val="000000">
                    <a:lumMod val="65000"/>
                    <a:lumOff val="35000"/>
                  </a:srgbClr>
                </a:solidFill>
              </a:rPr>
              <a:t>Genderwise Distribution of Spending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'Multiple comparison graph'!$B$3:$B$4</c:f>
              <c:strCache>
                <c:ptCount val="1"/>
                <c:pt idx="0">
                  <c:v>Entertainment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graph'!$B$5:$B$7</c:f>
              <c:numCache>
                <c:formatCode>General</c:formatCode>
                <c:ptCount val="2"/>
                <c:pt idx="0">
                  <c:v>1</c:v>
                </c:pt>
                <c:pt idx="1">
                  <c:v>1</c:v>
                </c:pt>
              </c:numCache>
            </c:numRef>
          </c:val>
          <c:extLst>
            <c:ext xmlns:c16="http://schemas.microsoft.com/office/drawing/2014/chart" uri="{C3380CC4-5D6E-409C-BE32-E72D297353CC}">
              <c16:uniqueId val="{00000000-EC5D-4349-8D8F-5ED110F44DC4}"/>
            </c:ext>
          </c:extLst>
        </c:ser>
        <c:ser>
          <c:idx val="1"/>
          <c:order val="1"/>
          <c:tx>
            <c:strRef>
              <c:f>'Multiple comparison graph'!$C$3:$C$4</c:f>
              <c:strCache>
                <c:ptCount val="1"/>
                <c:pt idx="0">
                  <c:v>Food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graph'!$C$5:$C$7</c:f>
              <c:numCache>
                <c:formatCode>General</c:formatCode>
                <c:ptCount val="2"/>
                <c:pt idx="0">
                  <c:v>9</c:v>
                </c:pt>
                <c:pt idx="1">
                  <c:v>23</c:v>
                </c:pt>
              </c:numCache>
            </c:numRef>
          </c:val>
          <c:extLst>
            <c:ext xmlns:c16="http://schemas.microsoft.com/office/drawing/2014/chart" uri="{C3380CC4-5D6E-409C-BE32-E72D297353CC}">
              <c16:uniqueId val="{00000009-CD16-416B-BA25-723F63CC1FC3}"/>
            </c:ext>
          </c:extLst>
        </c:ser>
        <c:ser>
          <c:idx val="2"/>
          <c:order val="2"/>
          <c:tx>
            <c:strRef>
              <c:f>'Multiple comparison graph'!$D$3:$D$4</c:f>
              <c:strCache>
                <c:ptCount val="1"/>
                <c:pt idx="0">
                  <c:v>Others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graph'!$D$5:$D$7</c:f>
              <c:numCache>
                <c:formatCode>General</c:formatCode>
                <c:ptCount val="2"/>
                <c:pt idx="0">
                  <c:v>5</c:v>
                </c:pt>
                <c:pt idx="1">
                  <c:v>3</c:v>
                </c:pt>
              </c:numCache>
            </c:numRef>
          </c:val>
          <c:extLst>
            <c:ext xmlns:c16="http://schemas.microsoft.com/office/drawing/2014/chart" uri="{C3380CC4-5D6E-409C-BE32-E72D297353CC}">
              <c16:uniqueId val="{0000000A-CD16-416B-BA25-723F63CC1FC3}"/>
            </c:ext>
          </c:extLst>
        </c:ser>
        <c:ser>
          <c:idx val="3"/>
          <c:order val="3"/>
          <c:tx>
            <c:strRef>
              <c:f>'Multiple comparison graph'!$E$3:$E$4</c:f>
              <c:strCache>
                <c:ptCount val="1"/>
                <c:pt idx="0">
                  <c:v>Shopping</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graph'!$E$5:$E$7</c:f>
              <c:numCache>
                <c:formatCode>General</c:formatCode>
                <c:ptCount val="2"/>
                <c:pt idx="1">
                  <c:v>3</c:v>
                </c:pt>
              </c:numCache>
            </c:numRef>
          </c:val>
          <c:extLst>
            <c:ext xmlns:c16="http://schemas.microsoft.com/office/drawing/2014/chart" uri="{C3380CC4-5D6E-409C-BE32-E72D297353CC}">
              <c16:uniqueId val="{0000000B-CD16-416B-BA25-723F63CC1FC3}"/>
            </c:ext>
          </c:extLst>
        </c:ser>
        <c:ser>
          <c:idx val="4"/>
          <c:order val="4"/>
          <c:tx>
            <c:strRef>
              <c:f>'Multiple comparison graph'!$F$3:$F$4</c:f>
              <c:strCache>
                <c:ptCount val="1"/>
                <c:pt idx="0">
                  <c:v>Travel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'Multiple comparison graph'!$A$5:$A$7</c:f>
              <c:strCache>
                <c:ptCount val="2"/>
                <c:pt idx="0">
                  <c:v>Female</c:v>
                </c:pt>
                <c:pt idx="1">
                  <c:v>Male</c:v>
                </c:pt>
              </c:strCache>
            </c:strRef>
          </c:cat>
          <c:val>
            <c:numRef>
              <c:f>'Multiple comparison graph'!$F$5:$F$7</c:f>
              <c:numCache>
                <c:formatCode>General</c:formatCode>
                <c:ptCount val="2"/>
                <c:pt idx="1">
                  <c:v>2</c:v>
                </c:pt>
              </c:numCache>
            </c:numRef>
          </c:val>
          <c:extLst>
            <c:ext xmlns:c16="http://schemas.microsoft.com/office/drawing/2014/chart" uri="{C3380CC4-5D6E-409C-BE32-E72D297353CC}">
              <c16:uniqueId val="{0000000C-CD16-416B-BA25-723F63CC1FC3}"/>
            </c:ext>
          </c:extLst>
        </c:ser>
        <c:dLbls>
          <c:showLegendKey val="0"/>
          <c:showVal val="1"/>
          <c:showCatName val="0"/>
          <c:showSerName val="0"/>
          <c:showPercent val="0"/>
          <c:showBubbleSize val="0"/>
        </c:dLbls>
        <c:gapWidth val="150"/>
        <c:shape val="box"/>
        <c:axId val="1035043503"/>
        <c:axId val="1035048783"/>
        <c:axId val="0"/>
      </c:bar3DChart>
      <c:catAx>
        <c:axId val="103504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8783"/>
        <c:crosses val="autoZero"/>
        <c:auto val="1"/>
        <c:lblAlgn val="ctr"/>
        <c:lblOffset val="100"/>
        <c:noMultiLvlLbl val="0"/>
      </c:catAx>
      <c:valAx>
        <c:axId val="103504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4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Analysis.xlsx]Comparison !PivotTable1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Allowance vs Avg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29212598425197"/>
          <c:y val="0.2054612712245921"/>
          <c:w val="0.7829992125984252"/>
          <c:h val="0.64504872616474984"/>
        </c:manualLayout>
      </c:layout>
      <c:bar3DChart>
        <c:barDir val="col"/>
        <c:grouping val="clustered"/>
        <c:varyColors val="0"/>
        <c:ser>
          <c:idx val="0"/>
          <c:order val="0"/>
          <c:tx>
            <c:strRef>
              <c:f>'Comparison '!$B$3</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'!$A$4:$A$8</c:f>
              <c:strCache>
                <c:ptCount val="4"/>
                <c:pt idx="0">
                  <c:v>₹2000 - ₹5000</c:v>
                </c:pt>
                <c:pt idx="1">
                  <c:v>₹5000 - ₹10000</c:v>
                </c:pt>
                <c:pt idx="2">
                  <c:v>Above ₹10000</c:v>
                </c:pt>
                <c:pt idx="3">
                  <c:v>Less than ₹2000</c:v>
                </c:pt>
              </c:strCache>
            </c:strRef>
          </c:cat>
          <c:val>
            <c:numRef>
              <c:f>'Comparison '!$B$4:$B$8</c:f>
              <c:numCache>
                <c:formatCode>General</c:formatCode>
                <c:ptCount val="4"/>
                <c:pt idx="0">
                  <c:v>3100</c:v>
                </c:pt>
                <c:pt idx="1">
                  <c:v>3500</c:v>
                </c:pt>
                <c:pt idx="2">
                  <c:v>9833.3333333333339</c:v>
                </c:pt>
                <c:pt idx="3">
                  <c:v>4371.4285714285716</c:v>
                </c:pt>
              </c:numCache>
            </c:numRef>
          </c:val>
          <c:extLst>
            <c:ext xmlns:c16="http://schemas.microsoft.com/office/drawing/2014/chart" uri="{C3380CC4-5D6E-409C-BE32-E72D297353CC}">
              <c16:uniqueId val="{00000000-BFC9-44BC-B731-FE694644FF54}"/>
            </c:ext>
          </c:extLst>
        </c:ser>
        <c:dLbls>
          <c:showLegendKey val="0"/>
          <c:showVal val="1"/>
          <c:showCatName val="0"/>
          <c:showSerName val="0"/>
          <c:showPercent val="0"/>
          <c:showBubbleSize val="0"/>
        </c:dLbls>
        <c:gapWidth val="150"/>
        <c:shape val="box"/>
        <c:axId val="1035021903"/>
        <c:axId val="1035032943"/>
        <c:axId val="0"/>
      </c:bar3DChart>
      <c:catAx>
        <c:axId val="103502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32943"/>
        <c:crosses val="autoZero"/>
        <c:auto val="1"/>
        <c:lblAlgn val="ctr"/>
        <c:lblOffset val="100"/>
        <c:noMultiLvlLbl val="0"/>
      </c:catAx>
      <c:valAx>
        <c:axId val="103503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Analysis.xlsx]Gender Spending!PivotTable1</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Spent: Male Vs Female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IN"/>
          </a:p>
        </c:rich>
      </c:tx>
      <c:layout>
        <c:manualLayout>
          <c:xMode val="edge"/>
          <c:yMode val="edge"/>
          <c:x val="0.25577465823814105"/>
          <c:y val="4.731620813126047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aseline="0">
                    <a:solidFill>
                      <a:schemeClr val="bg1"/>
                    </a:solidFill>
                  </a:rPr>
                  <a:t>
</a:t>
                </a:r>
                <a:fld id="{415D76DD-F67D-43C4-8AD1-5E5097DF5DDB}" type="PERCENTAGE">
                  <a:rPr lang="en-US" sz="1000"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4166677602799649"/>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0933660-3126-490B-AB34-0B2015B11B55}"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205599300087492E-2"/>
                  <c:h val="0.16630249343832021"/>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5"/>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aseline="0">
                    <a:solidFill>
                      <a:schemeClr val="bg1"/>
                    </a:solidFill>
                  </a:rPr>
                  <a:t>
</a:t>
                </a:r>
                <a:fld id="{415D76DD-F67D-43C4-8AD1-5E5097DF5DDB}" type="PERCENTAGE">
                  <a:rPr lang="en-US" sz="1000"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19050">
            <a:solidFill>
              <a:schemeClr val="lt1"/>
            </a:solidFill>
          </a:ln>
          <a:effectLst/>
        </c:spPr>
        <c:dLbl>
          <c:idx val="0"/>
          <c:layout>
            <c:manualLayout>
              <c:x val="0.14166677602799649"/>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solidFill>
                      <a:schemeClr val="bg1"/>
                    </a:solidFill>
                  </a:rPr>
                  <a:t>
</a:t>
                </a:r>
                <a:fld id="{D0933660-3126-490B-AB34-0B2015B11B55}"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205599300087492E-2"/>
                  <c:h val="0.16630249343832021"/>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297101449275363"/>
              <c:y val="7.407407407407398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a:pPr>
                  <a:t>[CATEGORY NAME]</a:t>
                </a:fld>
                <a:r>
                  <a:rPr lang="en-US" sz="1000" baseline="0">
                    <a:solidFill>
                      <a:schemeClr val="bg1"/>
                    </a:solidFill>
                  </a:rPr>
                  <a:t>
</a:t>
                </a:r>
                <a:fld id="{415D76DD-F67D-43C4-8AD1-5E5097DF5DDB}" type="PERCENTAGE">
                  <a:rPr lang="en-US" sz="1000" baseline="0">
                    <a:solidFill>
                      <a:schemeClr val="bg1"/>
                    </a:solidFill>
                  </a:rPr>
                  <a:pPr>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dLbl>
          <c:idx val="0"/>
          <c:layout>
            <c:manualLayout>
              <c:x val="0.17246383943854843"/>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a:pPr>
                  <a:t>[CATEGORY NAME]</a:t>
                </a:fld>
                <a:r>
                  <a:rPr lang="en-US" baseline="0">
                    <a:solidFill>
                      <a:schemeClr val="bg1"/>
                    </a:solidFill>
                  </a:rPr>
                  <a:t>
</a:t>
                </a:r>
                <a:fld id="{D0933660-3126-490B-AB34-0B2015B11B5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79972612119138"/>
                  <c:h val="0.16630249343832021"/>
                </c:manualLayout>
              </c15:layout>
              <c15:dlblFieldTable/>
              <c15:showDataLabelsRange val="0"/>
            </c:ext>
          </c:extLst>
        </c:dLbl>
      </c:pivotFmt>
    </c:pivotFmts>
    <c:plotArea>
      <c:layout>
        <c:manualLayout>
          <c:layoutTarget val="inner"/>
          <c:xMode val="edge"/>
          <c:yMode val="edge"/>
          <c:x val="0.27632630152801602"/>
          <c:y val="0.31782860000202501"/>
          <c:w val="0.44734739694396802"/>
          <c:h val="0.58789446915630317"/>
        </c:manualLayout>
      </c:layout>
      <c:pieChart>
        <c:varyColors val="1"/>
        <c:ser>
          <c:idx val="0"/>
          <c:order val="0"/>
          <c:tx>
            <c:strRef>
              <c:f>'Gender Spending'!$B$3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B1-4BED-BF7C-22AF1D6BD39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1B1-4BED-BF7C-22AF1D6BD396}"/>
              </c:ext>
            </c:extLst>
          </c:dPt>
          <c:dLbls>
            <c:dLbl>
              <c:idx val="0"/>
              <c:layout>
                <c:manualLayout>
                  <c:x val="-0.18297101449275363"/>
                  <c:y val="7.407407407407398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CC4961D-7A97-4349-A636-322DB3C6833D}" type="CATEGORYNAME">
                      <a:rPr lang="en-US" sz="1000">
                        <a:solidFill>
                          <a:schemeClr val="bg1"/>
                        </a:solidFill>
                      </a:rPr>
                      <a:pPr>
                        <a:defRPr/>
                      </a:pPr>
                      <a:t>[CATEGORY NAME]</a:t>
                    </a:fld>
                    <a:r>
                      <a:rPr lang="en-US" sz="1000" baseline="0">
                        <a:solidFill>
                          <a:schemeClr val="bg1"/>
                        </a:solidFill>
                      </a:rPr>
                      <a:t>
</a:t>
                    </a:r>
                    <a:fld id="{415D76DD-F67D-43C4-8AD1-5E5097DF5DDB}" type="PERCENTAGE">
                      <a:rPr lang="en-US" sz="1000" baseline="0">
                        <a:solidFill>
                          <a:schemeClr val="bg1"/>
                        </a:solidFill>
                      </a:rPr>
                      <a:pPr>
                        <a:defRPr/>
                      </a:pPr>
                      <a:t>[PERCENTAGE]</a:t>
                    </a:fld>
                    <a:endParaRPr lang="en-US" sz="1000"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71B1-4BED-BF7C-22AF1D6BD396}"/>
                </c:ext>
              </c:extLst>
            </c:dLbl>
            <c:dLbl>
              <c:idx val="1"/>
              <c:layout>
                <c:manualLayout>
                  <c:x val="0.17246383943854843"/>
                  <c:y val="-8.3333333333333329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F7ECA566-4E25-45CC-9AEF-01AB0D0F7213}" type="CATEGORYNAME">
                      <a:rPr lang="en-US" sz="1050">
                        <a:solidFill>
                          <a:schemeClr val="bg1"/>
                        </a:solidFill>
                      </a:rPr>
                      <a:pPr>
                        <a:defRPr/>
                      </a:pPr>
                      <a:t>[CATEGORY NAME]</a:t>
                    </a:fld>
                    <a:r>
                      <a:rPr lang="en-US" baseline="0">
                        <a:solidFill>
                          <a:schemeClr val="bg1"/>
                        </a:solidFill>
                      </a:rPr>
                      <a:t>
</a:t>
                    </a:r>
                    <a:fld id="{D0933660-3126-490B-AB34-0B2015B11B55}"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79972612119138"/>
                      <c:h val="0.16630249343832021"/>
                    </c:manualLayout>
                  </c15:layout>
                  <c15:dlblFieldTable/>
                  <c15:showDataLabelsRange val="0"/>
                </c:ext>
                <c:ext xmlns:c16="http://schemas.microsoft.com/office/drawing/2014/chart" uri="{C3380CC4-5D6E-409C-BE32-E72D297353CC}">
                  <c16:uniqueId val="{00000003-71B1-4BED-BF7C-22AF1D6BD396}"/>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Spending'!$A$4:$A$6</c:f>
              <c:strCache>
                <c:ptCount val="2"/>
                <c:pt idx="0">
                  <c:v>Female</c:v>
                </c:pt>
                <c:pt idx="1">
                  <c:v>Male</c:v>
                </c:pt>
              </c:strCache>
            </c:strRef>
          </c:cat>
          <c:val>
            <c:numRef>
              <c:f>'Gender Spending'!$B$4:$B$6</c:f>
              <c:numCache>
                <c:formatCode>General</c:formatCode>
                <c:ptCount val="2"/>
                <c:pt idx="0">
                  <c:v>84500</c:v>
                </c:pt>
                <c:pt idx="1">
                  <c:v>146500</c:v>
                </c:pt>
              </c:numCache>
            </c:numRef>
          </c:val>
          <c:extLst>
            <c:ext xmlns:c16="http://schemas.microsoft.com/office/drawing/2014/chart" uri="{C3380CC4-5D6E-409C-BE32-E72D297353CC}">
              <c16:uniqueId val="{00000004-71B1-4BED-BF7C-22AF1D6BD39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Analysis.xlsx]Saving Behavior!PivotTable2</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Savings Behavior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a:sp3d/>
        </c:spPr>
        <c:dLbl>
          <c:idx val="0"/>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7D926293-8C7F-4B2F-8718-83A4507A1CFA}"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2"/>
          </a:solidFill>
          <a:ln>
            <a:noFill/>
          </a:ln>
          <a:effectLst/>
          <a:sp3d/>
        </c:spPr>
        <c:dLbl>
          <c:idx val="0"/>
          <c:layout>
            <c:manualLayout>
              <c:x val="-9.7222222222222238E-2"/>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563921C2-2970-4E39-8F8E-AF4728E76485}"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092F67C-EA71-4BD9-9B0F-C9B2694A76FF}"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340FB418-8E43-47BA-9303-7415809955C2}" type="VALUE">
                  <a:rPr lang="en-US" sz="1000" b="1" baseline="0"/>
                  <a:pPr>
                    <a:defRPr sz="900" b="0" i="0" u="none" strike="noStrike" kern="1200" baseline="0">
                      <a:solidFill>
                        <a:schemeClr val="dk1">
                          <a:lumMod val="65000"/>
                          <a:lumOff val="35000"/>
                        </a:schemeClr>
                      </a:solidFill>
                      <a:latin typeface="+mn-lt"/>
                      <a:ea typeface="+mn-ea"/>
                      <a:cs typeface="+mn-cs"/>
                    </a:defRPr>
                  </a:pPr>
                  <a:t>[VALUE]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4"/>
          </a:solidFill>
          <a:ln>
            <a:noFill/>
          </a:ln>
          <a:effectLst/>
          <a:sp3d/>
        </c:spPr>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E75F8B8D-D6E0-404F-A5F3-5FA21321316C}"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092F67C-EA71-4BD9-9B0F-C9B2694A76FF}"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340FB418-8E43-47BA-9303-7415809955C2}" type="VALUE">
                  <a:rPr lang="en-US" sz="1000" b="1" baseline="0"/>
                  <a:pPr>
                    <a:defRPr sz="900" b="0" i="0" u="none" strike="noStrike" kern="1200" baseline="0">
                      <a:solidFill>
                        <a:schemeClr val="dk1">
                          <a:lumMod val="65000"/>
                          <a:lumOff val="35000"/>
                        </a:schemeClr>
                      </a:solidFill>
                      <a:latin typeface="+mn-lt"/>
                      <a:ea typeface="+mn-ea"/>
                      <a:cs typeface="+mn-cs"/>
                    </a:defRPr>
                  </a:pPr>
                  <a:t>[VALUE]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a:sp3d/>
        </c:spPr>
        <c:dLbl>
          <c:idx val="0"/>
          <c:layout>
            <c:manualLayout>
              <c:x val="-9.7222222222222238E-2"/>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563921C2-2970-4E39-8F8E-AF4728E76485}"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a:noFill/>
          </a:ln>
          <a:effectLst/>
          <a:sp3d/>
        </c:spPr>
        <c:dLbl>
          <c:idx val="0"/>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7D926293-8C7F-4B2F-8718-83A4507A1CFA}"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a:noFill/>
          </a:ln>
          <a:effectLst/>
          <a:sp3d/>
        </c:spPr>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E75F8B8D-D6E0-404F-A5F3-5FA21321316C}" type="VALU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092F67C-EA71-4BD9-9B0F-C9B2694A76FF}" type="CATEGORYNAME">
                  <a:rPr lang="en-US" sz="1000" b="1"/>
                  <a:pPr>
                    <a:defRPr/>
                  </a:pPr>
                  <a:t>[CATEGORY NAME]</a:t>
                </a:fld>
                <a:r>
                  <a:rPr lang="en-US" sz="1000" b="1" baseline="0"/>
                  <a:t>, </a:t>
                </a:r>
                <a:fld id="{340FB418-8E43-47BA-9303-7415809955C2}" type="VALUE">
                  <a:rPr lang="en-US" sz="1000" b="1" baseline="0"/>
                  <a:pPr>
                    <a:defRPr/>
                  </a:pPr>
                  <a:t>[VALUE]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a:noFill/>
          </a:ln>
          <a:effectLst/>
          <a:sp3d/>
        </c:spPr>
        <c:dLbl>
          <c:idx val="0"/>
          <c:layout>
            <c:manualLayout>
              <c:x val="1.1180381915121178E-2"/>
              <c:y val="-5.0776997406477512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tx1"/>
                    </a:solidFill>
                  </a:rPr>
                  <a:pPr>
                    <a:defRPr/>
                  </a:pPr>
                  <a:t>[CATEGORY NAME]</a:t>
                </a:fld>
                <a:r>
                  <a:rPr lang="en-US" sz="1000" b="1" baseline="0">
                    <a:solidFill>
                      <a:schemeClr val="tx1"/>
                    </a:solidFill>
                  </a:rPr>
                  <a:t>, </a:t>
                </a:r>
                <a:fld id="{563921C2-2970-4E39-8F8E-AF4728E76485}" type="VALUE">
                  <a:rPr lang="en-US" sz="1000" b="1" baseline="0">
                    <a:solidFill>
                      <a:schemeClr val="tx1"/>
                    </a:solidFill>
                  </a:rPr>
                  <a:pPr>
                    <a:defRPr/>
                  </a:pPr>
                  <a:t>[VALUE]</a:t>
                </a:fld>
                <a:endParaRPr lang="en-US" sz="10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07607729349145"/>
                  <c:h val="7.4342593706858737E-2"/>
                </c:manualLayout>
              </c15:layout>
              <c15:dlblFieldTable/>
              <c15:showDataLabelsRange val="0"/>
            </c:ext>
          </c:extLst>
        </c:dLbl>
      </c:pivotFmt>
      <c:pivotFmt>
        <c:idx val="2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3"/>
          </a:solidFill>
          <a:ln>
            <a:noFill/>
          </a:ln>
          <a:effectLst/>
          <a:sp3d/>
        </c:spPr>
        <c:dLbl>
          <c:idx val="0"/>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a:pPr>
                  <a:t>[CATEGORY NAME]</a:t>
                </a:fld>
                <a:r>
                  <a:rPr lang="en-US" sz="1000" b="1" baseline="0">
                    <a:solidFill>
                      <a:schemeClr val="bg1"/>
                    </a:solidFill>
                  </a:rPr>
                  <a:t>, </a:t>
                </a:r>
                <a:fld id="{7D926293-8C7F-4B2F-8718-83A4507A1CFA}"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sp3d/>
        </c:spPr>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a:pPr>
                  <a:t>[CATEGORY NAME]</a:t>
                </a:fld>
                <a:r>
                  <a:rPr lang="en-US" sz="1000" b="1" baseline="0">
                    <a:solidFill>
                      <a:schemeClr val="bg1"/>
                    </a:solidFill>
                  </a:rPr>
                  <a:t>, </a:t>
                </a:r>
                <a:fld id="{E75F8B8D-D6E0-404F-A5F3-5FA21321316C}"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'Saving Behavior'!$B$4:$B$5</c:f>
              <c:strCache>
                <c:ptCount val="1"/>
                <c:pt idx="0">
                  <c:v>₹1000 - ₹3000</c:v>
                </c:pt>
              </c:strCache>
            </c:strRef>
          </c:tx>
          <c:spPr>
            <a:solidFill>
              <a:schemeClr val="accent1"/>
            </a:solidFill>
            <a:ln>
              <a:noFill/>
            </a:ln>
            <a:effectLst/>
            <a:sp3d/>
          </c:spPr>
          <c:invertIfNegative val="0"/>
          <c:dPt>
            <c:idx val="1"/>
            <c:invertIfNegative val="0"/>
            <c:bubble3D val="0"/>
            <c:spPr>
              <a:solidFill>
                <a:schemeClr val="accent1"/>
              </a:solidFill>
              <a:ln>
                <a:noFill/>
              </a:ln>
              <a:effectLst/>
              <a:sp3d/>
            </c:spPr>
            <c:extLst>
              <c:ext xmlns:c16="http://schemas.microsoft.com/office/drawing/2014/chart" uri="{C3380CC4-5D6E-409C-BE32-E72D297353CC}">
                <c16:uniqueId val="{00000000-618C-42CA-B78E-FB8E8BEBB9BE}"/>
              </c:ext>
            </c:extLst>
          </c:dPt>
          <c:dLbls>
            <c:dLbl>
              <c:idx val="1"/>
              <c:tx>
                <c:rich>
                  <a:bodyPr/>
                  <a:lstStyle/>
                  <a:p>
                    <a:fld id="{9092F67C-EA71-4BD9-9B0F-C9B2694A76FF}" type="CATEGORYNAME">
                      <a:rPr lang="en-US" sz="1000" b="1"/>
                      <a:pPr/>
                      <a:t>[CATEGORY NAME]</a:t>
                    </a:fld>
                    <a:r>
                      <a:rPr lang="en-US" sz="1000" b="1" baseline="0"/>
                      <a:t>, </a:t>
                    </a:r>
                    <a:fld id="{340FB418-8E43-47BA-9303-7415809955C2}" type="VALUE">
                      <a:rPr lang="en-US" sz="1000" b="1" baseline="0"/>
                      <a:pPr/>
                      <a:t>[VALUE]</a:t>
                    </a:fld>
                    <a:endParaRPr lang="en-US" sz="1000"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18C-42CA-B78E-FB8E8BEBB9B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Behavior'!$B$6:$B$7</c:f>
              <c:numCache>
                <c:formatCode>General</c:formatCode>
                <c:ptCount val="2"/>
                <c:pt idx="1">
                  <c:v>2</c:v>
                </c:pt>
              </c:numCache>
            </c:numRef>
          </c:val>
          <c:extLst>
            <c:ext xmlns:c16="http://schemas.microsoft.com/office/drawing/2014/chart" uri="{C3380CC4-5D6E-409C-BE32-E72D297353CC}">
              <c16:uniqueId val="{00000008-F3E8-4E51-91E5-CB519F6184A7}"/>
            </c:ext>
          </c:extLst>
        </c:ser>
        <c:ser>
          <c:idx val="1"/>
          <c:order val="1"/>
          <c:tx>
            <c:strRef>
              <c:f>'Saving Behavior'!$C$4:$C$5</c:f>
              <c:strCache>
                <c:ptCount val="1"/>
                <c:pt idx="0">
                  <c:v>Above ₹3000</c:v>
                </c:pt>
              </c:strCache>
            </c:strRef>
          </c:tx>
          <c:spPr>
            <a:solidFill>
              <a:schemeClr val="accent2"/>
            </a:solidFill>
            <a:ln>
              <a:noFill/>
            </a:ln>
            <a:effectLst/>
            <a:sp3d/>
          </c:spPr>
          <c:invertIfNegative val="0"/>
          <c:dPt>
            <c:idx val="1"/>
            <c:invertIfNegative val="0"/>
            <c:bubble3D val="0"/>
            <c:spPr>
              <a:solidFill>
                <a:schemeClr val="accent2"/>
              </a:solidFill>
              <a:ln>
                <a:noFill/>
              </a:ln>
              <a:effectLst/>
              <a:sp3d/>
            </c:spPr>
            <c:extLst>
              <c:ext xmlns:c16="http://schemas.microsoft.com/office/drawing/2014/chart" uri="{C3380CC4-5D6E-409C-BE32-E72D297353CC}">
                <c16:uniqueId val="{00000001-618C-42CA-B78E-FB8E8BEBB9BE}"/>
              </c:ext>
            </c:extLst>
          </c:dPt>
          <c:dLbls>
            <c:dLbl>
              <c:idx val="1"/>
              <c:layout>
                <c:manualLayout>
                  <c:x val="1.1180381915121178E-2"/>
                  <c:y val="-5.0776997406477512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E96D5E8-E195-41D9-BCFC-78CBEC1AF691}" type="CATEGORYNAME">
                      <a:rPr lang="en-US" sz="1000" b="1">
                        <a:solidFill>
                          <a:schemeClr val="tx1"/>
                        </a:solidFill>
                      </a:rPr>
                      <a:pPr>
                        <a:defRPr/>
                      </a:pPr>
                      <a:t>[CATEGORY NAME]</a:t>
                    </a:fld>
                    <a:r>
                      <a:rPr lang="en-US" sz="1000" b="1" baseline="0">
                        <a:solidFill>
                          <a:schemeClr val="tx1"/>
                        </a:solidFill>
                      </a:rPr>
                      <a:t>, </a:t>
                    </a:r>
                    <a:fld id="{563921C2-2970-4E39-8F8E-AF4728E76485}" type="VALUE">
                      <a:rPr lang="en-US" sz="1000" b="1" baseline="0">
                        <a:solidFill>
                          <a:schemeClr val="tx1"/>
                        </a:solidFill>
                      </a:rPr>
                      <a:pPr>
                        <a:defRPr/>
                      </a:pPr>
                      <a:t>[VALUE]</a:t>
                    </a:fld>
                    <a:endParaRPr lang="en-US" sz="1000" b="1"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07607729349145"/>
                      <c:h val="7.4342593706858737E-2"/>
                    </c:manualLayout>
                  </c15:layout>
                  <c15:dlblFieldTable/>
                  <c15:showDataLabelsRange val="0"/>
                </c:ext>
                <c:ext xmlns:c16="http://schemas.microsoft.com/office/drawing/2014/chart" uri="{C3380CC4-5D6E-409C-BE32-E72D297353CC}">
                  <c16:uniqueId val="{00000001-618C-42CA-B78E-FB8E8BEBB9B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Behavior'!$C$6:$C$7</c:f>
              <c:numCache>
                <c:formatCode>General</c:formatCode>
                <c:ptCount val="2"/>
                <c:pt idx="1">
                  <c:v>4</c:v>
                </c:pt>
              </c:numCache>
            </c:numRef>
          </c:val>
          <c:extLst>
            <c:ext xmlns:c16="http://schemas.microsoft.com/office/drawing/2014/chart" uri="{C3380CC4-5D6E-409C-BE32-E72D297353CC}">
              <c16:uniqueId val="{00000011-F3E8-4E51-91E5-CB519F6184A7}"/>
            </c:ext>
          </c:extLst>
        </c:ser>
        <c:ser>
          <c:idx val="2"/>
          <c:order val="2"/>
          <c:tx>
            <c:strRef>
              <c:f>'Saving Behavior'!$D$4:$D$5</c:f>
              <c:strCache>
                <c:ptCount val="1"/>
                <c:pt idx="0">
                  <c:v>Less than ₹1000</c:v>
                </c:pt>
              </c:strCache>
            </c:strRef>
          </c:tx>
          <c:spPr>
            <a:solidFill>
              <a:schemeClr val="accent3"/>
            </a:solidFill>
            <a:ln>
              <a:noFill/>
            </a:ln>
            <a:effectLst/>
            <a:sp3d/>
          </c:spPr>
          <c:invertIfNegative val="0"/>
          <c:dPt>
            <c:idx val="1"/>
            <c:invertIfNegative val="0"/>
            <c:bubble3D val="0"/>
            <c:spPr>
              <a:solidFill>
                <a:schemeClr val="accent3"/>
              </a:solidFill>
              <a:ln>
                <a:noFill/>
              </a:ln>
              <a:effectLst/>
              <a:sp3d/>
            </c:spPr>
            <c:extLst>
              <c:ext xmlns:c16="http://schemas.microsoft.com/office/drawing/2014/chart" uri="{C3380CC4-5D6E-409C-BE32-E72D297353CC}">
                <c16:uniqueId val="{00000002-618C-42CA-B78E-FB8E8BEBB9BE}"/>
              </c:ext>
            </c:extLst>
          </c:dPt>
          <c:dLbls>
            <c:dLbl>
              <c:idx val="1"/>
              <c:layout>
                <c:manualLayout>
                  <c:x val="-0.22500000000000006"/>
                  <c:y val="-4.2437781360066642E-1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6D2E753-9D5B-4512-BF41-E30DF5D15E2C}" type="CATEGORYNAME">
                      <a:rPr lang="en-US" sz="1000" b="1">
                        <a:solidFill>
                          <a:schemeClr val="bg1"/>
                        </a:solidFill>
                      </a:rPr>
                      <a:pPr>
                        <a:defRPr/>
                      </a:pPr>
                      <a:t>[CATEGORY NAME]</a:t>
                    </a:fld>
                    <a:r>
                      <a:rPr lang="en-US" sz="1000" b="1" baseline="0">
                        <a:solidFill>
                          <a:schemeClr val="bg1"/>
                        </a:solidFill>
                      </a:rPr>
                      <a:t>, </a:t>
                    </a:r>
                    <a:fld id="{7D926293-8C7F-4B2F-8718-83A4507A1CFA}"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2-618C-42CA-B78E-FB8E8BEBB9B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Behavior'!$D$6:$D$7</c:f>
              <c:numCache>
                <c:formatCode>General</c:formatCode>
                <c:ptCount val="2"/>
                <c:pt idx="1">
                  <c:v>22</c:v>
                </c:pt>
              </c:numCache>
            </c:numRef>
          </c:val>
          <c:extLst>
            <c:ext xmlns:c16="http://schemas.microsoft.com/office/drawing/2014/chart" uri="{C3380CC4-5D6E-409C-BE32-E72D297353CC}">
              <c16:uniqueId val="{00000012-F3E8-4E51-91E5-CB519F6184A7}"/>
            </c:ext>
          </c:extLst>
        </c:ser>
        <c:ser>
          <c:idx val="3"/>
          <c:order val="3"/>
          <c:tx>
            <c:strRef>
              <c:f>'Saving Behavior'!$E$4:$E$5</c:f>
              <c:strCache>
                <c:ptCount val="1"/>
                <c:pt idx="0">
                  <c:v>unknown</c:v>
                </c:pt>
              </c:strCache>
            </c:strRef>
          </c:tx>
          <c:spPr>
            <a:solidFill>
              <a:schemeClr val="accent4"/>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3-618C-42CA-B78E-FB8E8BEBB9BE}"/>
              </c:ext>
            </c:extLst>
          </c:dPt>
          <c:dLbls>
            <c:dLbl>
              <c:idx val="0"/>
              <c:layout>
                <c:manualLayout>
                  <c:x val="-0.2027777777777778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D7778D-A2AF-4774-A38E-287A7D4F39BF}" type="CATEGORYNAME">
                      <a:rPr lang="en-US" sz="1000" b="1">
                        <a:solidFill>
                          <a:schemeClr val="bg1"/>
                        </a:solidFill>
                      </a:rPr>
                      <a:pPr>
                        <a:defRPr/>
                      </a:pPr>
                      <a:t>[CATEGORY NAME]</a:t>
                    </a:fld>
                    <a:r>
                      <a:rPr lang="en-US" sz="1000" b="1" baseline="0">
                        <a:solidFill>
                          <a:schemeClr val="bg1"/>
                        </a:solidFill>
                      </a:rPr>
                      <a:t>, </a:t>
                    </a:r>
                    <a:fld id="{E75F8B8D-D6E0-404F-A5F3-5FA21321316C}" type="VALUE">
                      <a:rPr lang="en-US" sz="1000" b="1" baseline="0">
                        <a:solidFill>
                          <a:schemeClr val="bg1"/>
                        </a:solidFill>
                      </a:rPr>
                      <a:pPr>
                        <a:defRPr/>
                      </a:pPr>
                      <a:t>[VALUE]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618C-42CA-B78E-FB8E8BEBB9B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'Saving Behavior'!$A$6:$A$7</c:f>
              <c:strCache>
                <c:ptCount val="2"/>
                <c:pt idx="0">
                  <c:v>No</c:v>
                </c:pt>
                <c:pt idx="1">
                  <c:v>Yes</c:v>
                </c:pt>
              </c:strCache>
            </c:strRef>
          </c:cat>
          <c:val>
            <c:numRef>
              <c:f>'Saving Behavior'!$E$6:$E$7</c:f>
              <c:numCache>
                <c:formatCode>General</c:formatCode>
                <c:ptCount val="2"/>
                <c:pt idx="0">
                  <c:v>19</c:v>
                </c:pt>
              </c:numCache>
            </c:numRef>
          </c:val>
          <c:extLst>
            <c:ext xmlns:c16="http://schemas.microsoft.com/office/drawing/2014/chart" uri="{C3380CC4-5D6E-409C-BE32-E72D297353CC}">
              <c16:uniqueId val="{00000013-F3E8-4E51-91E5-CB519F6184A7}"/>
            </c:ext>
          </c:extLst>
        </c:ser>
        <c:dLbls>
          <c:showLegendKey val="0"/>
          <c:showVal val="0"/>
          <c:showCatName val="0"/>
          <c:showSerName val="0"/>
          <c:showPercent val="0"/>
          <c:showBubbleSize val="0"/>
        </c:dLbls>
        <c:gapWidth val="150"/>
        <c:shape val="box"/>
        <c:axId val="437678655"/>
        <c:axId val="437687295"/>
        <c:axId val="0"/>
      </c:bar3DChart>
      <c:catAx>
        <c:axId val="437678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7295"/>
        <c:crosses val="autoZero"/>
        <c:auto val="1"/>
        <c:lblAlgn val="ctr"/>
        <c:lblOffset val="100"/>
        <c:noMultiLvlLbl val="0"/>
      </c:catAx>
      <c:valAx>
        <c:axId val="43768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Analysis.xlsx]Spending Category Count!PivotTable3</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Spending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dLbl>
          <c:idx val="0"/>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25C89442-5BC9-439E-A65C-C71132B2B067}"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5"/>
          </a:solidFill>
          <a:ln w="25400">
            <a:solidFill>
              <a:schemeClr val="lt1"/>
            </a:solidFill>
          </a:ln>
          <a:effectLst/>
          <a:sp3d contourW="25400">
            <a:contourClr>
              <a:schemeClr val="lt1"/>
            </a:contourClr>
          </a:sp3d>
        </c:spPr>
        <c:dLbl>
          <c:idx val="0"/>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87701126-BC74-40F4-B6E7-F7AE6D2C0EFD}"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lumMod val="60000"/>
            </a:schemeClr>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37CD06F-09D3-4D03-8509-75CEB0E76332}"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4ACB6111-DA60-4ED7-9AB7-5D4C458D1FEF}" type="PERCENTAGE">
                  <a:rPr lang="en-US" sz="1000" b="1" baseline="0"/>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lumMod val="60000"/>
            </a:schemeClr>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4CA4805-068C-48F1-8CFE-528BCD788556}"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DA085EE3-BD53-489B-8C1F-1278C1EC4455}" type="PERCENTAGE">
                  <a:rPr lang="en-US" sz="1000" b="1" baseline="0"/>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9424A30-0036-4C97-A8B4-032E43B555F1}" type="CATEGORYNAME">
                  <a:rPr lang="en-US" sz="900" b="1"/>
                  <a:pPr>
                    <a:defRPr sz="900" b="0" i="0" u="none" strike="noStrike" kern="1200" baseline="0">
                      <a:solidFill>
                        <a:schemeClr val="dk1">
                          <a:lumMod val="65000"/>
                          <a:lumOff val="35000"/>
                        </a:schemeClr>
                      </a:solidFill>
                      <a:latin typeface="+mn-lt"/>
                      <a:ea typeface="+mn-ea"/>
                      <a:cs typeface="+mn-cs"/>
                    </a:defRPr>
                  </a:pPr>
                  <a:t>[CATEGORY NAME]</a:t>
                </a:fld>
                <a:r>
                  <a:rPr lang="en-US" sz="900" b="1" baseline="0"/>
                  <a:t>
</a:t>
                </a:r>
                <a:fld id="{0474AAAA-D899-4F0A-9F34-BA3D15454D7D}" type="PERCENTAGE">
                  <a:rPr lang="en-US" sz="900" b="1" baseline="0"/>
                  <a:pPr>
                    <a:defRPr sz="900" b="0" i="0" u="none" strike="noStrike" kern="1200" baseline="0">
                      <a:solidFill>
                        <a:schemeClr val="dk1">
                          <a:lumMod val="65000"/>
                          <a:lumOff val="35000"/>
                        </a:schemeClr>
                      </a:solidFill>
                      <a:latin typeface="+mn-lt"/>
                      <a:ea typeface="+mn-ea"/>
                      <a:cs typeface="+mn-cs"/>
                    </a:defRPr>
                  </a:pPr>
                  <a:t>[PERCENTAGE]</a:t>
                </a:fld>
                <a:endParaRPr lang="en-US" sz="9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9424A30-0036-4C97-A8B4-032E43B555F1}" type="CATEGORYNAME">
                  <a:rPr lang="en-US" sz="900" b="1"/>
                  <a:pPr>
                    <a:defRPr sz="900" b="0" i="0" u="none" strike="noStrike" kern="1200" baseline="0">
                      <a:solidFill>
                        <a:schemeClr val="dk1">
                          <a:lumMod val="65000"/>
                          <a:lumOff val="35000"/>
                        </a:schemeClr>
                      </a:solidFill>
                      <a:latin typeface="+mn-lt"/>
                      <a:ea typeface="+mn-ea"/>
                      <a:cs typeface="+mn-cs"/>
                    </a:defRPr>
                  </a:pPr>
                  <a:t>[CATEGORY NAME]</a:t>
                </a:fld>
                <a:r>
                  <a:rPr lang="en-US" sz="900" b="1" baseline="0"/>
                  <a:t>
</a:t>
                </a:r>
                <a:fld id="{0474AAAA-D899-4F0A-9F34-BA3D15454D7D}" type="PERCENTAGE">
                  <a:rPr lang="en-US" sz="900" b="1" baseline="0"/>
                  <a:pPr>
                    <a:defRPr sz="900" b="0" i="0" u="none" strike="noStrike" kern="1200" baseline="0">
                      <a:solidFill>
                        <a:schemeClr val="dk1">
                          <a:lumMod val="65000"/>
                          <a:lumOff val="35000"/>
                        </a:schemeClr>
                      </a:solidFill>
                      <a:latin typeface="+mn-lt"/>
                      <a:ea typeface="+mn-ea"/>
                      <a:cs typeface="+mn-cs"/>
                    </a:defRPr>
                  </a:pPr>
                  <a:t>[PERCENTAGE]</a:t>
                </a:fld>
                <a:endParaRPr lang="en-US" sz="9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25C89442-5BC9-439E-A65C-C71132B2B067}"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87701126-BC74-40F4-B6E7-F7AE6D2C0EFD}"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37CD06F-09D3-4D03-8509-75CEB0E76332}"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4ACB6111-DA60-4ED7-9AB7-5D4C458D1FEF}" type="PERCENTAGE">
                  <a:rPr lang="en-US" sz="1000" b="1" baseline="0"/>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4CA4805-068C-48F1-8CFE-528BCD788556}" type="CATEGORYNAME">
                  <a:rPr lang="en-US" sz="1000" b="1"/>
                  <a:pPr>
                    <a:defRPr sz="900" b="0" i="0" u="none" strike="noStrike" kern="1200" baseline="0">
                      <a:solidFill>
                        <a:schemeClr val="dk1">
                          <a:lumMod val="65000"/>
                          <a:lumOff val="35000"/>
                        </a:schemeClr>
                      </a:solidFill>
                      <a:latin typeface="+mn-lt"/>
                      <a:ea typeface="+mn-ea"/>
                      <a:cs typeface="+mn-cs"/>
                    </a:defRPr>
                  </a:pPr>
                  <a:t>[CATEGORY NAME]</a:t>
                </a:fld>
                <a:r>
                  <a:rPr lang="en-US" sz="1000" b="1" baseline="0"/>
                  <a:t>
</a:t>
                </a:r>
                <a:fld id="{DA085EE3-BD53-489B-8C1F-1278C1EC4455}" type="PERCENTAGE">
                  <a:rPr lang="en-US" sz="1000" b="1" baseline="0"/>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9424A30-0036-4C97-A8B4-032E43B555F1}" type="CATEGORYNAME">
                  <a:rPr lang="en-US" sz="900" b="1"/>
                  <a:pPr>
                    <a:defRPr/>
                  </a:pPr>
                  <a:t>[CATEGORY NAME]</a:t>
                </a:fld>
                <a:r>
                  <a:rPr lang="en-US" sz="900" b="1" baseline="0"/>
                  <a:t>
</a:t>
                </a:r>
                <a:fld id="{0474AAAA-D899-4F0A-9F34-BA3D15454D7D}" type="PERCENTAGE">
                  <a:rPr lang="en-US" sz="900" b="1" baseline="0"/>
                  <a:pPr>
                    <a:defRPr/>
                  </a:pPr>
                  <a:t>[PERCENTAGE]</a:t>
                </a:fld>
                <a:endParaRPr lang="en-US" sz="9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a:pPr>
                  <a:t>[CATEGORY NAME]</a:t>
                </a:fld>
                <a:r>
                  <a:rPr lang="en-US" sz="1000" b="1" baseline="0">
                    <a:solidFill>
                      <a:schemeClr val="bg1"/>
                    </a:solidFill>
                  </a:rPr>
                  <a:t>
</a:t>
                </a:r>
                <a:fld id="{25C89442-5BC9-439E-A65C-C71132B2B067}"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a:pPr>
                  <a:t>[CATEGORY NAME]</a:t>
                </a:fld>
                <a:r>
                  <a:rPr lang="en-US" sz="1000" b="1" baseline="0">
                    <a:solidFill>
                      <a:schemeClr val="bg1"/>
                    </a:solidFill>
                  </a:rPr>
                  <a:t>
</a:t>
                </a:r>
                <a:fld id="{87701126-BC74-40F4-B6E7-F7AE6D2C0EFD}"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37CD06F-09D3-4D03-8509-75CEB0E76332}" type="CATEGORYNAME">
                  <a:rPr lang="en-US" sz="1000" b="1"/>
                  <a:pPr>
                    <a:defRPr/>
                  </a:pPr>
                  <a:t>[CATEGORY NAME]</a:t>
                </a:fld>
                <a:r>
                  <a:rPr lang="en-US" sz="1000" b="1" baseline="0"/>
                  <a:t>
</a:t>
                </a:r>
                <a:fld id="{4ACB6111-DA60-4ED7-9AB7-5D4C458D1FEF}" type="PERCENTAGE">
                  <a:rPr lang="en-US" sz="1000" b="1" baseline="0"/>
                  <a:pPr>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4CA4805-068C-48F1-8CFE-528BCD788556}" type="CATEGORYNAME">
                  <a:rPr lang="en-US" sz="1000" b="1"/>
                  <a:pPr>
                    <a:defRPr/>
                  </a:pPr>
                  <a:t>[CATEGORY NAME]</a:t>
                </a:fld>
                <a:r>
                  <a:rPr lang="en-US" sz="1000" b="1" baseline="0"/>
                  <a:t>
</a:t>
                </a:r>
                <a:fld id="{DA085EE3-BD53-489B-8C1F-1278C1EC4455}" type="PERCENTAGE">
                  <a:rPr lang="en-US" sz="1000" b="1" baseline="0"/>
                  <a:pPr>
                    <a:defRPr/>
                  </a:pPr>
                  <a:t>[PERCENTAGE]</a:t>
                </a:fld>
                <a:endParaRPr lang="en-US" sz="1000" b="1"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'Spending Category Count'!$B$5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936-4D0D-8F21-FAD103471FE7}"/>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9936-4D0D-8F21-FAD103471FE7}"/>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936-4D0D-8F21-FAD103471FE7}"/>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936-4D0D-8F21-FAD103471FE7}"/>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936-4D0D-8F21-FAD103471FE7}"/>
              </c:ext>
            </c:extLst>
          </c:dPt>
          <c:dLbls>
            <c:dLbl>
              <c:idx val="0"/>
              <c:tx>
                <c:rich>
                  <a:bodyPr/>
                  <a:lstStyle/>
                  <a:p>
                    <a:fld id="{49424A30-0036-4C97-A8B4-032E43B555F1}" type="CATEGORYNAME">
                      <a:rPr lang="en-US" sz="900" b="1"/>
                      <a:pPr/>
                      <a:t>[CATEGORY NAME]</a:t>
                    </a:fld>
                    <a:r>
                      <a:rPr lang="en-US" sz="900" b="1" baseline="0"/>
                      <a:t>
</a:t>
                    </a:r>
                    <a:fld id="{0474AAAA-D899-4F0A-9F34-BA3D15454D7D}" type="PERCENTAGE">
                      <a:rPr lang="en-US" sz="900" b="1" baseline="0"/>
                      <a:pPr/>
                      <a:t>[PERCENTAGE]</a:t>
                    </a:fld>
                    <a:endParaRPr lang="en-US" sz="9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36-4D0D-8F21-FAD103471FE7}"/>
                </c:ext>
              </c:extLst>
            </c:dLbl>
            <c:dLbl>
              <c:idx val="1"/>
              <c:layout>
                <c:manualLayout>
                  <c:x val="-0.14444444444444443"/>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BDF98CC-E356-46C4-A6F4-91A08192071B}" type="CATEGORYNAME">
                      <a:rPr lang="en-US" sz="1000" b="1">
                        <a:solidFill>
                          <a:schemeClr val="bg1"/>
                        </a:solidFill>
                      </a:rPr>
                      <a:pPr>
                        <a:defRPr/>
                      </a:pPr>
                      <a:t>[CATEGORY NAME]</a:t>
                    </a:fld>
                    <a:r>
                      <a:rPr lang="en-US" sz="1000" b="1" baseline="0">
                        <a:solidFill>
                          <a:schemeClr val="bg1"/>
                        </a:solidFill>
                      </a:rPr>
                      <a:t>
</a:t>
                    </a:r>
                    <a:fld id="{25C89442-5BC9-439E-A65C-C71132B2B067}"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9936-4D0D-8F21-FAD103471FE7}"/>
                </c:ext>
              </c:extLst>
            </c:dLbl>
            <c:dLbl>
              <c:idx val="2"/>
              <c:layout>
                <c:manualLayout>
                  <c:x val="0.12777777777777777"/>
                  <c:y val="4.16666666666666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539F57-F6AF-4DBD-9F46-7A20DEC865A8}" type="CATEGORYNAME">
                      <a:rPr lang="en-US" sz="1000" b="1">
                        <a:solidFill>
                          <a:schemeClr val="bg1"/>
                        </a:solidFill>
                      </a:rPr>
                      <a:pPr>
                        <a:defRPr/>
                      </a:pPr>
                      <a:t>[CATEGORY NAME]</a:t>
                    </a:fld>
                    <a:r>
                      <a:rPr lang="en-US" sz="1000" b="1" baseline="0">
                        <a:solidFill>
                          <a:schemeClr val="bg1"/>
                        </a:solidFill>
                      </a:rPr>
                      <a:t>
</a:t>
                    </a:r>
                    <a:fld id="{87701126-BC74-40F4-B6E7-F7AE6D2C0EFD}"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9936-4D0D-8F21-FAD103471FE7}"/>
                </c:ext>
              </c:extLst>
            </c:dLbl>
            <c:dLbl>
              <c:idx val="3"/>
              <c:tx>
                <c:rich>
                  <a:bodyPr/>
                  <a:lstStyle/>
                  <a:p>
                    <a:fld id="{737CD06F-09D3-4D03-8509-75CEB0E76332}" type="CATEGORYNAME">
                      <a:rPr lang="en-US" sz="1000" b="1"/>
                      <a:pPr/>
                      <a:t>[CATEGORY NAME]</a:t>
                    </a:fld>
                    <a:r>
                      <a:rPr lang="en-US" sz="1000" b="1" baseline="0"/>
                      <a:t>
</a:t>
                    </a:r>
                    <a:fld id="{4ACB6111-DA60-4ED7-9AB7-5D4C458D1FEF}" type="PERCENTAGE">
                      <a:rPr lang="en-US" sz="1000" b="1" baseline="0"/>
                      <a:pPr/>
                      <a:t>[PERCENTAGE]</a:t>
                    </a:fld>
                    <a:endParaRPr lang="en-US" sz="10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936-4D0D-8F21-FAD103471FE7}"/>
                </c:ext>
              </c:extLst>
            </c:dLbl>
            <c:dLbl>
              <c:idx val="4"/>
              <c:tx>
                <c:rich>
                  <a:bodyPr/>
                  <a:lstStyle/>
                  <a:p>
                    <a:fld id="{24CA4805-068C-48F1-8CFE-528BCD788556}" type="CATEGORYNAME">
                      <a:rPr lang="en-US" sz="1000" b="1"/>
                      <a:pPr/>
                      <a:t>[CATEGORY NAME]</a:t>
                    </a:fld>
                    <a:r>
                      <a:rPr lang="en-US" sz="1000" b="1" baseline="0"/>
                      <a:t>
</a:t>
                    </a:r>
                    <a:fld id="{DA085EE3-BD53-489B-8C1F-1278C1EC4455}" type="PERCENTAGE">
                      <a:rPr lang="en-US" sz="1000" b="1" baseline="0"/>
                      <a:pPr/>
                      <a:t>[PERCENTAGE]</a:t>
                    </a:fld>
                    <a:endParaRPr lang="en-US" sz="1000" b="1"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936-4D0D-8F21-FAD103471FE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'Spending Category Count'!$A$6:$A$10</c:f>
              <c:strCache>
                <c:ptCount val="5"/>
                <c:pt idx="0">
                  <c:v>Entertainment</c:v>
                </c:pt>
                <c:pt idx="1">
                  <c:v>Food</c:v>
                </c:pt>
                <c:pt idx="2">
                  <c:v>Others</c:v>
                </c:pt>
                <c:pt idx="3">
                  <c:v>Shopping</c:v>
                </c:pt>
                <c:pt idx="4">
                  <c:v>Travel</c:v>
                </c:pt>
              </c:strCache>
            </c:strRef>
          </c:cat>
          <c:val>
            <c:numRef>
              <c:f>'Spending Category Count'!$B$6:$B$10</c:f>
              <c:numCache>
                <c:formatCode>General</c:formatCode>
                <c:ptCount val="5"/>
                <c:pt idx="0">
                  <c:v>2</c:v>
                </c:pt>
                <c:pt idx="1">
                  <c:v>32</c:v>
                </c:pt>
                <c:pt idx="2">
                  <c:v>8</c:v>
                </c:pt>
                <c:pt idx="3">
                  <c:v>3</c:v>
                </c:pt>
                <c:pt idx="4">
                  <c:v>2</c:v>
                </c:pt>
              </c:numCache>
            </c:numRef>
          </c:val>
          <c:extLst>
            <c:ext xmlns:c16="http://schemas.microsoft.com/office/drawing/2014/chart" uri="{C3380CC4-5D6E-409C-BE32-E72D297353CC}">
              <c16:uniqueId val="{0000000B-D5D1-4C94-820A-A90B69019AE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Spending Behavior Analysis.xlsx]Payment method analysis!PivotTable4</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0" i="0" u="none" strike="noStrike" kern="1200" spc="0" baseline="0">
                <a:solidFill>
                  <a:srgbClr val="000000">
                    <a:lumMod val="65000"/>
                    <a:lumOff val="35000"/>
                  </a:srgbClr>
                </a:solidFill>
              </a:rPr>
              <a:t>Payment Method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dLbl>
          <c:idx val="0"/>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6404B734-5E43-48E8-853B-74123A9C7DF9}"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83EF3FCC-C536-46DC-9F9C-53891FA57E10}"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1ECF130-CE96-4EFC-955D-84EE360E19FF}" type="CATEGORYNAME">
                  <a:rPr lang="en-US" sz="1000" b="1">
                    <a:solidFill>
                      <a:schemeClr val="tx2"/>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2"/>
                    </a:solidFill>
                  </a:rPr>
                  <a:t>
</a:t>
                </a:r>
                <a:fld id="{CA8992AF-F03F-49CD-A85E-C6717F9ADA3F}" type="PERCENTAGE">
                  <a:rPr lang="en-US" sz="1000" b="1" baseline="0">
                    <a:solidFill>
                      <a:schemeClr val="tx2"/>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83EF3FCC-C536-46DC-9F9C-53891FA57E10}"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1ECF130-CE96-4EFC-955D-84EE360E19FF}" type="CATEGORYNAME">
                  <a:rPr lang="en-US" sz="1000" b="1">
                    <a:solidFill>
                      <a:schemeClr val="tx2"/>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2"/>
                    </a:solidFill>
                  </a:rPr>
                  <a:t>
</a:t>
                </a:r>
                <a:fld id="{CA8992AF-F03F-49CD-A85E-C6717F9ADA3F}" type="PERCENTAGE">
                  <a:rPr lang="en-US" sz="1000" b="1" baseline="0">
                    <a:solidFill>
                      <a:schemeClr val="tx2"/>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bg1"/>
                    </a:solidFill>
                  </a:rPr>
                  <a:t>
</a:t>
                </a:r>
                <a:fld id="{6404B734-5E43-48E8-853B-74123A9C7DF9}" type="PERCENTAGE">
                  <a:rPr lang="en-US" sz="10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a:pPr>
                  <a:t>[CATEGORY NAME]</a:t>
                </a:fld>
                <a:r>
                  <a:rPr lang="en-US" sz="1000" b="1" baseline="0">
                    <a:solidFill>
                      <a:schemeClr val="bg1"/>
                    </a:solidFill>
                  </a:rPr>
                  <a:t>
</a:t>
                </a:r>
                <a:fld id="{83EF3FCC-C536-46DC-9F9C-53891FA57E10}"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1ECF130-CE96-4EFC-955D-84EE360E19FF}" type="CATEGORYNAME">
                  <a:rPr lang="en-US" sz="1000" b="1">
                    <a:solidFill>
                      <a:schemeClr val="tx2"/>
                    </a:solidFill>
                  </a:rPr>
                  <a:pPr>
                    <a:defRPr/>
                  </a:pPr>
                  <a:t>[CATEGORY NAME]</a:t>
                </a:fld>
                <a:r>
                  <a:rPr lang="en-US" sz="1000" b="1" baseline="0">
                    <a:solidFill>
                      <a:schemeClr val="tx2"/>
                    </a:solidFill>
                  </a:rPr>
                  <a:t>
</a:t>
                </a:r>
                <a:fld id="{CA8992AF-F03F-49CD-A85E-C6717F9ADA3F}" type="PERCENTAGE">
                  <a:rPr lang="en-US" sz="1000" b="1" baseline="0">
                    <a:solidFill>
                      <a:schemeClr val="tx2"/>
                    </a:solidFill>
                  </a:rPr>
                  <a:pPr>
                    <a:defRPr/>
                  </a:pPr>
                  <a:t>[PERCENTAGE]</a:t>
                </a:fld>
                <a:endParaRPr lang="en-US" sz="1000" b="1" baseline="0">
                  <a:solidFill>
                    <a:schemeClr val="tx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a:pPr>
                  <a:t>[CATEGORY NAME]</a:t>
                </a:fld>
                <a:r>
                  <a:rPr lang="en-US" sz="1000" b="1" baseline="0">
                    <a:solidFill>
                      <a:schemeClr val="bg1"/>
                    </a:solidFill>
                  </a:rPr>
                  <a:t>
</a:t>
                </a:r>
                <a:fld id="{6404B734-5E43-48E8-853B-74123A9C7DF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6666666666667"/>
          <c:y val="0.25577164535026953"/>
          <c:w val="0.79166666666666663"/>
          <c:h val="0.62894176328861162"/>
        </c:manualLayout>
      </c:layout>
      <c:pie3DChart>
        <c:varyColors val="1"/>
        <c:ser>
          <c:idx val="0"/>
          <c:order val="0"/>
          <c:tx>
            <c:strRef>
              <c:f>'Payment method analysis'!$B$4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50-4C70-A8F7-7BC492B376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50-4C70-A8F7-7BC492B376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50-4C70-A8F7-7BC492B3765C}"/>
              </c:ext>
            </c:extLst>
          </c:dPt>
          <c:dLbls>
            <c:dLbl>
              <c:idx val="0"/>
              <c:layout>
                <c:manualLayout>
                  <c:x val="-0.12777777777777788"/>
                  <c:y val="9.25925925925926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5B69110-0F8F-46B9-B874-8125718008A7}" type="CATEGORYNAME">
                      <a:rPr lang="en-US" sz="1000" b="1">
                        <a:solidFill>
                          <a:schemeClr val="bg1"/>
                        </a:solidFill>
                      </a:rPr>
                      <a:pPr>
                        <a:defRPr/>
                      </a:pPr>
                      <a:t>[CATEGORY NAME]</a:t>
                    </a:fld>
                    <a:r>
                      <a:rPr lang="en-US" sz="1000" b="1" baseline="0">
                        <a:solidFill>
                          <a:schemeClr val="bg1"/>
                        </a:solidFill>
                      </a:rPr>
                      <a:t>
</a:t>
                    </a:r>
                    <a:fld id="{83EF3FCC-C536-46DC-9F9C-53891FA57E10}"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A350-4C70-A8F7-7BC492B3765C}"/>
                </c:ext>
              </c:extLst>
            </c:dLbl>
            <c:dLbl>
              <c:idx val="1"/>
              <c:tx>
                <c:rich>
                  <a:bodyPr/>
                  <a:lstStyle/>
                  <a:p>
                    <a:fld id="{D1ECF130-CE96-4EFC-955D-84EE360E19FF}" type="CATEGORYNAME">
                      <a:rPr lang="en-US" sz="1000" b="1">
                        <a:solidFill>
                          <a:schemeClr val="tx2"/>
                        </a:solidFill>
                      </a:rPr>
                      <a:pPr/>
                      <a:t>[CATEGORY NAME]</a:t>
                    </a:fld>
                    <a:r>
                      <a:rPr lang="en-US" sz="1000" b="1" baseline="0">
                        <a:solidFill>
                          <a:schemeClr val="tx2"/>
                        </a:solidFill>
                      </a:rPr>
                      <a:t>
</a:t>
                    </a:r>
                    <a:fld id="{CA8992AF-F03F-49CD-A85E-C6717F9ADA3F}" type="PERCENTAGE">
                      <a:rPr lang="en-US" sz="1000" b="1" baseline="0">
                        <a:solidFill>
                          <a:schemeClr val="tx2"/>
                        </a:solidFill>
                      </a:rPr>
                      <a:pPr/>
                      <a:t>[PERCENTAGE]</a:t>
                    </a:fld>
                    <a:endParaRPr lang="en-US" sz="1000" b="1" baseline="0">
                      <a:solidFill>
                        <a:schemeClr val="tx2"/>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50-4C70-A8F7-7BC492B3765C}"/>
                </c:ext>
              </c:extLst>
            </c:dLbl>
            <c:dLbl>
              <c:idx val="2"/>
              <c:layout>
                <c:manualLayout>
                  <c:x val="0.15"/>
                  <c:y val="-0.162037037037037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AF4992-48F9-443A-90C8-52E18E88BE1D}" type="CATEGORYNAME">
                      <a:rPr lang="en-US" sz="1000" b="1">
                        <a:solidFill>
                          <a:schemeClr val="bg1"/>
                        </a:solidFill>
                      </a:rPr>
                      <a:pPr>
                        <a:defRPr/>
                      </a:pPr>
                      <a:t>[CATEGORY NAME]</a:t>
                    </a:fld>
                    <a:r>
                      <a:rPr lang="en-US" sz="1000" b="1" baseline="0">
                        <a:solidFill>
                          <a:schemeClr val="bg1"/>
                        </a:solidFill>
                      </a:rPr>
                      <a:t>
</a:t>
                    </a:r>
                    <a:fld id="{6404B734-5E43-48E8-853B-74123A9C7DF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A350-4C70-A8F7-7BC492B3765C}"/>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analysis'!$A$5:$A$7</c:f>
              <c:strCache>
                <c:ptCount val="3"/>
                <c:pt idx="0">
                  <c:v>Cash</c:v>
                </c:pt>
                <c:pt idx="1">
                  <c:v>Debit/Credit Card</c:v>
                </c:pt>
                <c:pt idx="2">
                  <c:v>UPI</c:v>
                </c:pt>
              </c:strCache>
            </c:strRef>
          </c:cat>
          <c:val>
            <c:numRef>
              <c:f>'Payment method analysis'!$B$5:$B$7</c:f>
              <c:numCache>
                <c:formatCode>General</c:formatCode>
                <c:ptCount val="3"/>
                <c:pt idx="0">
                  <c:v>13</c:v>
                </c:pt>
                <c:pt idx="1">
                  <c:v>3</c:v>
                </c:pt>
                <c:pt idx="2">
                  <c:v>31</c:v>
                </c:pt>
              </c:numCache>
            </c:numRef>
          </c:val>
          <c:extLst>
            <c:ext xmlns:c16="http://schemas.microsoft.com/office/drawing/2014/chart" uri="{C3380CC4-5D6E-409C-BE32-E72D297353CC}">
              <c16:uniqueId val="{00000007-4467-421D-8696-373C671261F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213360</xdr:colOff>
      <xdr:row>11</xdr:row>
      <xdr:rowOff>110490</xdr:rowOff>
    </xdr:from>
    <xdr:to>
      <xdr:col>12</xdr:col>
      <xdr:colOff>419100</xdr:colOff>
      <xdr:row>28</xdr:row>
      <xdr:rowOff>3810</xdr:rowOff>
    </xdr:to>
    <xdr:graphicFrame macro="">
      <xdr:nvGraphicFramePr>
        <xdr:cNvPr id="2" name="Chart 1">
          <a:extLst>
            <a:ext uri="{FF2B5EF4-FFF2-40B4-BE49-F238E27FC236}">
              <a16:creationId xmlns:a16="http://schemas.microsoft.com/office/drawing/2014/main" id="{D0468588-B9FE-B655-C7BC-3F49F7E3A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xdr:colOff>
      <xdr:row>7</xdr:row>
      <xdr:rowOff>22860</xdr:rowOff>
    </xdr:from>
    <xdr:to>
      <xdr:col>9</xdr:col>
      <xdr:colOff>350520</xdr:colOff>
      <xdr:row>23</xdr:row>
      <xdr:rowOff>83820</xdr:rowOff>
    </xdr:to>
    <xdr:graphicFrame macro="">
      <xdr:nvGraphicFramePr>
        <xdr:cNvPr id="3" name="Chart 2">
          <a:extLst>
            <a:ext uri="{FF2B5EF4-FFF2-40B4-BE49-F238E27FC236}">
              <a16:creationId xmlns:a16="http://schemas.microsoft.com/office/drawing/2014/main" id="{BC6BA1FF-2764-73D9-3C0C-7DE4D0468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464820</xdr:colOff>
      <xdr:row>10</xdr:row>
      <xdr:rowOff>95250</xdr:rowOff>
    </xdr:from>
    <xdr:to>
      <xdr:col>2</xdr:col>
      <xdr:colOff>1272540</xdr:colOff>
      <xdr:row>26</xdr:row>
      <xdr:rowOff>156210</xdr:rowOff>
    </xdr:to>
    <xdr:graphicFrame macro="">
      <xdr:nvGraphicFramePr>
        <xdr:cNvPr id="2" name="Chart 1">
          <a:extLst>
            <a:ext uri="{FF2B5EF4-FFF2-40B4-BE49-F238E27FC236}">
              <a16:creationId xmlns:a16="http://schemas.microsoft.com/office/drawing/2014/main" id="{1B1CD2F6-CFF9-E1B9-5A17-30ED7725C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1851660</xdr:colOff>
      <xdr:row>10</xdr:row>
      <xdr:rowOff>95250</xdr:rowOff>
    </xdr:from>
    <xdr:to>
      <xdr:col>9</xdr:col>
      <xdr:colOff>205740</xdr:colOff>
      <xdr:row>26</xdr:row>
      <xdr:rowOff>156210</xdr:rowOff>
    </xdr:to>
    <xdr:graphicFrame macro="">
      <xdr:nvGraphicFramePr>
        <xdr:cNvPr id="5" name="Chart 4">
          <a:extLst>
            <a:ext uri="{FF2B5EF4-FFF2-40B4-BE49-F238E27FC236}">
              <a16:creationId xmlns:a16="http://schemas.microsoft.com/office/drawing/2014/main" id="{A44174D5-5CBE-7DFC-1DE7-243646805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2461260</xdr:colOff>
      <xdr:row>11</xdr:row>
      <xdr:rowOff>80010</xdr:rowOff>
    </xdr:from>
    <xdr:to>
      <xdr:col>8</xdr:col>
      <xdr:colOff>15240</xdr:colOff>
      <xdr:row>27</xdr:row>
      <xdr:rowOff>140970</xdr:rowOff>
    </xdr:to>
    <xdr:graphicFrame macro="">
      <xdr:nvGraphicFramePr>
        <xdr:cNvPr id="2" name="Chart 1">
          <a:extLst>
            <a:ext uri="{FF2B5EF4-FFF2-40B4-BE49-F238E27FC236}">
              <a16:creationId xmlns:a16="http://schemas.microsoft.com/office/drawing/2014/main" id="{96C01704-0654-3047-6D15-E83E907F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2080260</xdr:colOff>
      <xdr:row>6</xdr:row>
      <xdr:rowOff>144780</xdr:rowOff>
    </xdr:from>
    <xdr:to>
      <xdr:col>9</xdr:col>
      <xdr:colOff>281940</xdr:colOff>
      <xdr:row>23</xdr:row>
      <xdr:rowOff>38100</xdr:rowOff>
    </xdr:to>
    <xdr:graphicFrame macro="">
      <xdr:nvGraphicFramePr>
        <xdr:cNvPr id="3" name="Chart 2">
          <a:extLst>
            <a:ext uri="{FF2B5EF4-FFF2-40B4-BE49-F238E27FC236}">
              <a16:creationId xmlns:a16="http://schemas.microsoft.com/office/drawing/2014/main" id="{0CD25811-8B47-E4DC-D7E7-9E578396B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1242060</xdr:colOff>
      <xdr:row>10</xdr:row>
      <xdr:rowOff>45720</xdr:rowOff>
    </xdr:from>
    <xdr:to>
      <xdr:col>7</xdr:col>
      <xdr:colOff>205740</xdr:colOff>
      <xdr:row>26</xdr:row>
      <xdr:rowOff>106680</xdr:rowOff>
    </xdr:to>
    <xdr:graphicFrame macro="">
      <xdr:nvGraphicFramePr>
        <xdr:cNvPr id="3" name="Chart 2">
          <a:extLst>
            <a:ext uri="{FF2B5EF4-FFF2-40B4-BE49-F238E27FC236}">
              <a16:creationId xmlns:a16="http://schemas.microsoft.com/office/drawing/2014/main" id="{8FC36AE9-F859-6F37-C14C-44C977DE0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135829</xdr:colOff>
      <xdr:row>18</xdr:row>
      <xdr:rowOff>8466</xdr:rowOff>
    </xdr:from>
    <xdr:to>
      <xdr:col>6</xdr:col>
      <xdr:colOff>288229</xdr:colOff>
      <xdr:row>31</xdr:row>
      <xdr:rowOff>121194</xdr:rowOff>
    </xdr:to>
    <xdr:graphicFrame macro="">
      <xdr:nvGraphicFramePr>
        <xdr:cNvPr id="5" name="Chart 4">
          <a:extLst>
            <a:ext uri="{FF2B5EF4-FFF2-40B4-BE49-F238E27FC236}">
              <a16:creationId xmlns:a16="http://schemas.microsoft.com/office/drawing/2014/main" id="{FF468A3B-75F3-4009-BFBF-F391B1A8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190502</xdr:colOff>
      <xdr:row>2</xdr:row>
      <xdr:rowOff>138611</xdr:rowOff>
    </xdr:from>
    <xdr:to>
      <xdr:col>18</xdr:col>
      <xdr:colOff>288473</xdr:colOff>
      <xdr:row>17</xdr:row>
      <xdr:rowOff>37858</xdr:rowOff>
    </xdr:to>
    <xdr:graphicFrame macro="">
      <xdr:nvGraphicFramePr>
        <xdr:cNvPr id="6" name="Chart 5">
          <a:extLst>
            <a:ext uri="{FF2B5EF4-FFF2-40B4-BE49-F238E27FC236}">
              <a16:creationId xmlns:a16="http://schemas.microsoft.com/office/drawing/2014/main" id="{49F34E22-01ED-4E5E-A040-99AD50E74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374952</xdr:colOff>
      <xdr:row>2</xdr:row>
      <xdr:rowOff>25401</xdr:rowOff>
    </xdr:from>
    <xdr:to>
      <xdr:col>12</xdr:col>
      <xdr:colOff>91924</xdr:colOff>
      <xdr:row>17</xdr:row>
      <xdr:rowOff>53219</xdr:rowOff>
    </xdr:to>
    <xdr:graphicFrame macro="">
      <xdr:nvGraphicFramePr>
        <xdr:cNvPr id="9" name="Chart 8">
          <a:extLst>
            <a:ext uri="{FF2B5EF4-FFF2-40B4-BE49-F238E27FC236}">
              <a16:creationId xmlns:a16="http://schemas.microsoft.com/office/drawing/2014/main" id="{DBC68465-26EB-4491-982C-7184596AD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194735</xdr:colOff>
      <xdr:row>17</xdr:row>
      <xdr:rowOff>165100</xdr:rowOff>
    </xdr:from>
    <xdr:to>
      <xdr:col>18</xdr:col>
      <xdr:colOff>347135</xdr:colOff>
      <xdr:row>32</xdr:row>
      <xdr:rowOff>21167</xdr:rowOff>
    </xdr:to>
    <xdr:graphicFrame macro="">
      <xdr:nvGraphicFramePr>
        <xdr:cNvPr id="10" name="Chart 9">
          <a:extLst>
            <a:ext uri="{FF2B5EF4-FFF2-40B4-BE49-F238E27FC236}">
              <a16:creationId xmlns:a16="http://schemas.microsoft.com/office/drawing/2014/main" id="{64D78B51-F895-4AEB-82FC-E9010C0FD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143933</xdr:colOff>
      <xdr:row>2</xdr:row>
      <xdr:rowOff>46566</xdr:rowOff>
    </xdr:from>
    <xdr:to>
      <xdr:col>6</xdr:col>
      <xdr:colOff>232833</xdr:colOff>
      <xdr:row>17</xdr:row>
      <xdr:rowOff>59266</xdr:rowOff>
    </xdr:to>
    <xdr:graphicFrame macro="">
      <xdr:nvGraphicFramePr>
        <xdr:cNvPr id="11" name="Chart 10">
          <a:extLst>
            <a:ext uri="{FF2B5EF4-FFF2-40B4-BE49-F238E27FC236}">
              <a16:creationId xmlns:a16="http://schemas.microsoft.com/office/drawing/2014/main" id="{024A16E2-F41D-42FA-B173-077318150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368301</xdr:colOff>
      <xdr:row>18</xdr:row>
      <xdr:rowOff>8467</xdr:rowOff>
    </xdr:from>
    <xdr:to>
      <xdr:col>12</xdr:col>
      <xdr:colOff>63501</xdr:colOff>
      <xdr:row>31</xdr:row>
      <xdr:rowOff>76201</xdr:rowOff>
    </xdr:to>
    <xdr:graphicFrame macro="">
      <xdr:nvGraphicFramePr>
        <xdr:cNvPr id="16" name="Chart 15">
          <a:extLst>
            <a:ext uri="{FF2B5EF4-FFF2-40B4-BE49-F238E27FC236}">
              <a16:creationId xmlns:a16="http://schemas.microsoft.com/office/drawing/2014/main" id="{7880D243-5674-45BC-A253-FD32131F9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603674</xdr:colOff>
      <xdr:row>2</xdr:row>
      <xdr:rowOff>32173</xdr:rowOff>
    </xdr:from>
    <xdr:to>
      <xdr:col>21</xdr:col>
      <xdr:colOff>603674</xdr:colOff>
      <xdr:row>6</xdr:row>
      <xdr:rowOff>118533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AB4AD028-9354-47E7-83A6-8C22CCBF65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27274" y="497840"/>
              <a:ext cx="1828800" cy="76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584199</xdr:colOff>
      <xdr:row>22</xdr:row>
      <xdr:rowOff>12701</xdr:rowOff>
    </xdr:from>
    <xdr:to>
      <xdr:col>21</xdr:col>
      <xdr:colOff>516466</xdr:colOff>
      <xdr:row>30</xdr:row>
      <xdr:rowOff>25400</xdr:rowOff>
    </xdr:to>
    <mc:AlternateContent xmlns:mc="http://schemas.openxmlformats.org/markup-compatibility/2006" xmlns:a14="http://schemas.microsoft.com/office/drawing/2010/main">
      <mc:Choice Requires="a14">
        <xdr:graphicFrame macro="">
          <xdr:nvGraphicFramePr>
            <xdr:cNvPr id="22" name="What is your monthly allowance/income?">
              <a:extLst>
                <a:ext uri="{FF2B5EF4-FFF2-40B4-BE49-F238E27FC236}">
                  <a16:creationId xmlns:a16="http://schemas.microsoft.com/office/drawing/2014/main" id="{CB7A26DB-9B7A-711A-F5E9-59A485BB5C90}"/>
                </a:ext>
              </a:extLst>
            </xdr:cNvPr>
            <xdr:cNvGraphicFramePr/>
          </xdr:nvGraphicFramePr>
          <xdr:xfrm>
            <a:off x="0" y="0"/>
            <a:ext cx="0" cy="0"/>
          </xdr:xfrm>
          <a:graphic>
            <a:graphicData uri="http://schemas.microsoft.com/office/drawing/2010/slicer">
              <sle:slicer xmlns:sle="http://schemas.microsoft.com/office/drawing/2010/slicer" name="What is your monthly allowance/income?"/>
            </a:graphicData>
          </a:graphic>
        </xdr:graphicFrame>
      </mc:Choice>
      <mc:Fallback xmlns="">
        <xdr:sp macro="" textlink="">
          <xdr:nvSpPr>
            <xdr:cNvPr id="0" name=""/>
            <xdr:cNvSpPr>
              <a:spLocks noTextEdit="1"/>
            </xdr:cNvSpPr>
          </xdr:nvSpPr>
          <xdr:spPr>
            <a:xfrm>
              <a:off x="11607799" y="3865034"/>
              <a:ext cx="1761067" cy="136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601132</xdr:colOff>
      <xdr:row>12</xdr:row>
      <xdr:rowOff>111760</xdr:rowOff>
    </xdr:from>
    <xdr:to>
      <xdr:col>21</xdr:col>
      <xdr:colOff>547793</xdr:colOff>
      <xdr:row>21</xdr:row>
      <xdr:rowOff>152399</xdr:rowOff>
    </xdr:to>
    <mc:AlternateContent xmlns:mc="http://schemas.openxmlformats.org/markup-compatibility/2006" xmlns:a14="http://schemas.microsoft.com/office/drawing/2010/main">
      <mc:Choice Requires="a14">
        <xdr:graphicFrame macro="">
          <xdr:nvGraphicFramePr>
            <xdr:cNvPr id="23" name="What is your main spending category?">
              <a:extLst>
                <a:ext uri="{FF2B5EF4-FFF2-40B4-BE49-F238E27FC236}">
                  <a16:creationId xmlns:a16="http://schemas.microsoft.com/office/drawing/2014/main" id="{01F32074-236B-5C78-AB5F-C26013293C8A}"/>
                </a:ext>
              </a:extLst>
            </xdr:cNvPr>
            <xdr:cNvGraphicFramePr/>
          </xdr:nvGraphicFramePr>
          <xdr:xfrm>
            <a:off x="0" y="0"/>
            <a:ext cx="0" cy="0"/>
          </xdr:xfrm>
          <a:graphic>
            <a:graphicData uri="http://schemas.microsoft.com/office/drawing/2010/slicer">
              <sle:slicer xmlns:sle="http://schemas.microsoft.com/office/drawing/2010/slicer" name="What is your main spending category?"/>
            </a:graphicData>
          </a:graphic>
        </xdr:graphicFrame>
      </mc:Choice>
      <mc:Fallback xmlns="">
        <xdr:sp macro="" textlink="">
          <xdr:nvSpPr>
            <xdr:cNvPr id="0" name=""/>
            <xdr:cNvSpPr>
              <a:spLocks noTextEdit="1"/>
            </xdr:cNvSpPr>
          </xdr:nvSpPr>
          <xdr:spPr>
            <a:xfrm>
              <a:off x="11624732" y="2270760"/>
              <a:ext cx="1775461" cy="1564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587587</xdr:colOff>
      <xdr:row>6</xdr:row>
      <xdr:rowOff>168487</xdr:rowOff>
    </xdr:from>
    <xdr:to>
      <xdr:col>21</xdr:col>
      <xdr:colOff>587587</xdr:colOff>
      <xdr:row>12</xdr:row>
      <xdr:rowOff>50800</xdr:rowOff>
    </xdr:to>
    <mc:AlternateContent xmlns:mc="http://schemas.openxmlformats.org/markup-compatibility/2006" xmlns:a14="http://schemas.microsoft.com/office/drawing/2010/main">
      <mc:Choice Requires="a14">
        <xdr:graphicFrame macro="">
          <xdr:nvGraphicFramePr>
            <xdr:cNvPr id="24" name="Do you save money?">
              <a:extLst>
                <a:ext uri="{FF2B5EF4-FFF2-40B4-BE49-F238E27FC236}">
                  <a16:creationId xmlns:a16="http://schemas.microsoft.com/office/drawing/2014/main" id="{7081E32D-A308-9521-7289-AC13A3A9516C}"/>
                </a:ext>
              </a:extLst>
            </xdr:cNvPr>
            <xdr:cNvGraphicFramePr/>
          </xdr:nvGraphicFramePr>
          <xdr:xfrm>
            <a:off x="0" y="0"/>
            <a:ext cx="0" cy="0"/>
          </xdr:xfrm>
          <a:graphic>
            <a:graphicData uri="http://schemas.microsoft.com/office/drawing/2010/slicer">
              <sle:slicer xmlns:sle="http://schemas.microsoft.com/office/drawing/2010/slicer" name="Do you save money?"/>
            </a:graphicData>
          </a:graphic>
        </xdr:graphicFrame>
      </mc:Choice>
      <mc:Fallback xmlns="">
        <xdr:sp macro="" textlink="">
          <xdr:nvSpPr>
            <xdr:cNvPr id="0" name=""/>
            <xdr:cNvSpPr>
              <a:spLocks noTextEdit="1"/>
            </xdr:cNvSpPr>
          </xdr:nvSpPr>
          <xdr:spPr>
            <a:xfrm>
              <a:off x="11611187" y="1311487"/>
              <a:ext cx="1828800" cy="898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Yadav" refreshedDate="46103.969488888892" createdVersion="8" refreshedVersion="8" minRefreshableVersion="3" recordCount="47" xr:uid="{A4F46B46-1D6C-4EF6-ADFC-B0EF784E4AD6}">
  <cacheSource type="worksheet">
    <worksheetSource name="Form_Responses"/>
  </cacheSource>
  <cacheFields count="13">
    <cacheField name="Age" numFmtId="0">
      <sharedItems containsSemiMixedTypes="0" containsString="0" containsNumber="1" containsInteger="1" minValue="17" maxValue="26"/>
    </cacheField>
    <cacheField name="Gender" numFmtId="0">
      <sharedItems containsBlank="1" count="4">
        <s v="Female"/>
        <s v="Male"/>
        <s v="Prefer not to say" u="1"/>
        <m u="1"/>
      </sharedItems>
    </cacheField>
    <cacheField name="What is your monthly allowance/income?" numFmtId="0">
      <sharedItems containsBlank="1" count="5">
        <s v="Less than ₹2000"/>
        <s v="₹2000 - ₹5000"/>
        <s v="Above ₹10000"/>
        <s v="₹5000 - ₹10000"/>
        <m u="1"/>
      </sharedItems>
    </cacheField>
    <cacheField name="How much do you spend monthly? 2" numFmtId="0">
      <sharedItems/>
    </cacheField>
    <cacheField name="How much do you spend monthly? 3" numFmtId="0">
      <sharedItems containsSemiMixedTypes="0" containsString="0" containsNumber="1" containsInteger="1" minValue="1500" maxValue="12000"/>
    </cacheField>
    <cacheField name="What is your main spending category?" numFmtId="0">
      <sharedItems containsBlank="1" count="6">
        <s v="Food"/>
        <s v="Entertainment"/>
        <s v="Others"/>
        <s v="Shopping"/>
        <s v="Travel"/>
        <m u="1"/>
      </sharedItems>
    </cacheField>
    <cacheField name="Approx  of money spent on Food." numFmtId="9">
      <sharedItems containsSemiMixedTypes="0" containsString="0" containsNumber="1" minValue="0.05" maxValue="1"/>
    </cacheField>
    <cacheField name="Approx % of money spent on Shopping." numFmtId="9">
      <sharedItems containsSemiMixedTypes="0" containsString="0" containsNumber="1" minValue="0" maxValue="0.75"/>
    </cacheField>
    <cacheField name="Approx % of money spent on Travel." numFmtId="9">
      <sharedItems containsSemiMixedTypes="0" containsString="0" containsNumber="1" minValue="0" maxValue="0.5"/>
    </cacheField>
    <cacheField name="Do you save money?" numFmtId="0">
      <sharedItems count="2">
        <s v="Yes"/>
        <s v="No"/>
      </sharedItems>
    </cacheField>
    <cacheField name="If yes, how much do you save monthly?" numFmtId="0">
      <sharedItems count="4">
        <s v="Less than ₹1000"/>
        <s v="unknown"/>
        <s v="Above ₹3000"/>
        <s v="₹1000 - ₹3000"/>
      </sharedItems>
    </cacheField>
    <cacheField name="What influences your spending the most?" numFmtId="0">
      <sharedItems/>
    </cacheField>
    <cacheField name="Preferred payment method" numFmtId="0">
      <sharedItems count="3">
        <s v="UPI"/>
        <s v="Cash"/>
        <s v="Debit/Credit Card"/>
      </sharedItems>
    </cacheField>
  </cacheFields>
  <extLst>
    <ext xmlns:x14="http://schemas.microsoft.com/office/spreadsheetml/2009/9/main" uri="{725AE2AE-9491-48be-B2B4-4EB974FC3084}">
      <x14:pivotCacheDefinition pivotCacheId="1199477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n v="21"/>
    <x v="0"/>
    <x v="0"/>
    <s v="₹2000 – ₹5000"/>
    <n v="3500"/>
    <x v="0"/>
    <n v="0.5"/>
    <n v="0.2"/>
    <n v="0.05"/>
    <x v="0"/>
    <x v="0"/>
    <s v="Personal Needs"/>
    <x v="0"/>
  </r>
  <r>
    <n v="19"/>
    <x v="1"/>
    <x v="1"/>
    <s v="₹2000 – ₹5000"/>
    <n v="3500"/>
    <x v="0"/>
    <n v="0.6"/>
    <n v="0.2"/>
    <n v="0.05"/>
    <x v="0"/>
    <x v="0"/>
    <s v="Friends"/>
    <x v="0"/>
  </r>
  <r>
    <n v="19"/>
    <x v="1"/>
    <x v="1"/>
    <s v="₹2000 – ₹5000"/>
    <n v="3500"/>
    <x v="0"/>
    <n v="0.6"/>
    <n v="0.1"/>
    <n v="0.05"/>
    <x v="0"/>
    <x v="0"/>
    <s v="Friends"/>
    <x v="0"/>
  </r>
  <r>
    <n v="20"/>
    <x v="1"/>
    <x v="0"/>
    <s v="Less than ₹2000"/>
    <n v="1500"/>
    <x v="0"/>
    <n v="0.9"/>
    <n v="0.05"/>
    <n v="0.05"/>
    <x v="0"/>
    <x v="0"/>
    <s v="Friends"/>
    <x v="0"/>
  </r>
  <r>
    <n v="20"/>
    <x v="1"/>
    <x v="0"/>
    <s v="₹5000 – ₹10000"/>
    <n v="7500"/>
    <x v="0"/>
    <n v="0.6"/>
    <n v="0.1"/>
    <n v="0.2"/>
    <x v="1"/>
    <x v="1"/>
    <s v="Friends"/>
    <x v="0"/>
  </r>
  <r>
    <n v="18"/>
    <x v="0"/>
    <x v="0"/>
    <s v="Above ₹10000"/>
    <n v="12000"/>
    <x v="1"/>
    <n v="0.2"/>
    <n v="0"/>
    <n v="0.1"/>
    <x v="0"/>
    <x v="2"/>
    <s v="Personal Needs"/>
    <x v="1"/>
  </r>
  <r>
    <n v="25"/>
    <x v="1"/>
    <x v="0"/>
    <s v="₹2000 – ₹5000"/>
    <n v="3500"/>
    <x v="0"/>
    <n v="0.2"/>
    <n v="0"/>
    <n v="0.5"/>
    <x v="0"/>
    <x v="0"/>
    <s v="Personal Needs"/>
    <x v="2"/>
  </r>
  <r>
    <n v="21"/>
    <x v="0"/>
    <x v="0"/>
    <s v="Above ₹10000"/>
    <n v="12000"/>
    <x v="2"/>
    <n v="0.2"/>
    <n v="0.11"/>
    <n v="0.33"/>
    <x v="1"/>
    <x v="1"/>
    <s v="Personal Needs"/>
    <x v="2"/>
  </r>
  <r>
    <n v="19"/>
    <x v="0"/>
    <x v="0"/>
    <s v="₹2000 – ₹5000"/>
    <n v="3500"/>
    <x v="0"/>
    <n v="0.5"/>
    <n v="0.1"/>
    <n v="0.2"/>
    <x v="0"/>
    <x v="0"/>
    <s v="Personal Needs"/>
    <x v="1"/>
  </r>
  <r>
    <n v="18"/>
    <x v="1"/>
    <x v="1"/>
    <s v="Less than ₹2000"/>
    <n v="1500"/>
    <x v="3"/>
    <n v="0.55000000000000004"/>
    <n v="0.5"/>
    <n v="0"/>
    <x v="0"/>
    <x v="0"/>
    <s v="Personal Needs"/>
    <x v="0"/>
  </r>
  <r>
    <n v="19"/>
    <x v="1"/>
    <x v="2"/>
    <s v="Above ₹10000"/>
    <n v="12000"/>
    <x v="0"/>
    <n v="0.8"/>
    <n v="0.1"/>
    <n v="0.1"/>
    <x v="0"/>
    <x v="0"/>
    <s v="Personal Needs"/>
    <x v="0"/>
  </r>
  <r>
    <n v="20"/>
    <x v="1"/>
    <x v="0"/>
    <s v="₹2000 – ₹5000"/>
    <n v="3500"/>
    <x v="0"/>
    <n v="0.75"/>
    <n v="0.12"/>
    <n v="0.1"/>
    <x v="1"/>
    <x v="1"/>
    <s v="Friends"/>
    <x v="0"/>
  </r>
  <r>
    <n v="26"/>
    <x v="0"/>
    <x v="2"/>
    <s v="₹5000 – ₹10000"/>
    <n v="7500"/>
    <x v="2"/>
    <n v="0.1"/>
    <n v="0.1"/>
    <n v="0.05"/>
    <x v="0"/>
    <x v="2"/>
    <s v="Personal Needs"/>
    <x v="0"/>
  </r>
  <r>
    <n v="20"/>
    <x v="1"/>
    <x v="0"/>
    <s v="Above ₹10000"/>
    <n v="12000"/>
    <x v="0"/>
    <n v="0.43"/>
    <n v="0.37"/>
    <n v="0.13"/>
    <x v="1"/>
    <x v="1"/>
    <s v="Personal Needs"/>
    <x v="2"/>
  </r>
  <r>
    <n v="20"/>
    <x v="0"/>
    <x v="0"/>
    <s v="Less than ₹2000"/>
    <n v="1500"/>
    <x v="0"/>
    <n v="0.5"/>
    <n v="0.1"/>
    <n v="0.3"/>
    <x v="0"/>
    <x v="0"/>
    <s v="Personal Needs"/>
    <x v="0"/>
  </r>
  <r>
    <n v="18"/>
    <x v="1"/>
    <x v="0"/>
    <s v="Less than ₹2000"/>
    <n v="1500"/>
    <x v="0"/>
    <n v="0.5"/>
    <n v="0.1"/>
    <n v="0.25"/>
    <x v="1"/>
    <x v="1"/>
    <s v="Social Media"/>
    <x v="0"/>
  </r>
  <r>
    <n v="20"/>
    <x v="0"/>
    <x v="0"/>
    <s v="Less than ₹2000"/>
    <n v="1500"/>
    <x v="0"/>
    <n v="0.5"/>
    <n v="0.2"/>
    <n v="0.05"/>
    <x v="0"/>
    <x v="0"/>
    <s v="Personal Needs"/>
    <x v="1"/>
  </r>
  <r>
    <n v="20"/>
    <x v="1"/>
    <x v="0"/>
    <s v="Less than ₹2000"/>
    <n v="1500"/>
    <x v="0"/>
    <n v="0.05"/>
    <n v="0.05"/>
    <n v="0"/>
    <x v="1"/>
    <x v="1"/>
    <s v="Friends"/>
    <x v="0"/>
  </r>
  <r>
    <n v="19"/>
    <x v="0"/>
    <x v="0"/>
    <s v="₹2000 – ₹5000"/>
    <n v="3500"/>
    <x v="0"/>
    <n v="0.6"/>
    <n v="0.35"/>
    <n v="0.05"/>
    <x v="1"/>
    <x v="1"/>
    <s v="Personal Needs"/>
    <x v="1"/>
  </r>
  <r>
    <n v="17"/>
    <x v="1"/>
    <x v="1"/>
    <s v="₹2000 – ₹5000"/>
    <n v="3500"/>
    <x v="3"/>
    <n v="0.5"/>
    <n v="0.75"/>
    <n v="0.25"/>
    <x v="0"/>
    <x v="0"/>
    <s v="Personal Needs"/>
    <x v="1"/>
  </r>
  <r>
    <n v="20"/>
    <x v="0"/>
    <x v="0"/>
    <s v="₹2000 – ₹5000"/>
    <n v="3500"/>
    <x v="0"/>
    <n v="0.5"/>
    <n v="0.3"/>
    <n v="0.2"/>
    <x v="0"/>
    <x v="0"/>
    <s v="Friends"/>
    <x v="0"/>
  </r>
  <r>
    <n v="20"/>
    <x v="1"/>
    <x v="0"/>
    <s v="₹2000 – ₹5000"/>
    <n v="3500"/>
    <x v="2"/>
    <n v="0.15"/>
    <n v="0.35"/>
    <n v="0.5"/>
    <x v="1"/>
    <x v="1"/>
    <s v="Personal Needs"/>
    <x v="1"/>
  </r>
  <r>
    <n v="20"/>
    <x v="1"/>
    <x v="0"/>
    <s v="Less than ₹2000"/>
    <n v="1500"/>
    <x v="0"/>
    <n v="0.5"/>
    <n v="0.4"/>
    <n v="0.1"/>
    <x v="0"/>
    <x v="0"/>
    <s v="Personal Needs"/>
    <x v="0"/>
  </r>
  <r>
    <n v="18"/>
    <x v="0"/>
    <x v="0"/>
    <s v="Less than ₹2000"/>
    <n v="1500"/>
    <x v="2"/>
    <n v="0.3"/>
    <n v="0.6"/>
    <n v="0.1"/>
    <x v="1"/>
    <x v="1"/>
    <s v="Discounts"/>
    <x v="0"/>
  </r>
  <r>
    <n v="19"/>
    <x v="1"/>
    <x v="1"/>
    <s v="₹2000 – ₹5000"/>
    <n v="3500"/>
    <x v="0"/>
    <n v="0.6"/>
    <n v="0.3"/>
    <n v="0.1"/>
    <x v="1"/>
    <x v="1"/>
    <s v="Friends"/>
    <x v="0"/>
  </r>
  <r>
    <n v="19"/>
    <x v="1"/>
    <x v="0"/>
    <s v="Less than ₹2000"/>
    <n v="1500"/>
    <x v="2"/>
    <n v="0.3"/>
    <n v="0.4"/>
    <n v="0.2"/>
    <x v="0"/>
    <x v="0"/>
    <s v="Personal Needs"/>
    <x v="1"/>
  </r>
  <r>
    <n v="21"/>
    <x v="1"/>
    <x v="0"/>
    <s v="₹2000 – ₹5000"/>
    <n v="3500"/>
    <x v="4"/>
    <n v="0.2"/>
    <n v="0.2"/>
    <n v="0.4"/>
    <x v="0"/>
    <x v="0"/>
    <s v="Personal Needs"/>
    <x v="0"/>
  </r>
  <r>
    <n v="17"/>
    <x v="0"/>
    <x v="0"/>
    <s v="₹2000 – ₹5000"/>
    <n v="3500"/>
    <x v="0"/>
    <n v="0.6"/>
    <n v="0.35"/>
    <n v="0.05"/>
    <x v="0"/>
    <x v="0"/>
    <s v="Discounts"/>
    <x v="1"/>
  </r>
  <r>
    <n v="23"/>
    <x v="1"/>
    <x v="0"/>
    <s v="Less than ₹2000"/>
    <n v="1500"/>
    <x v="0"/>
    <n v="0.6"/>
    <n v="0.1"/>
    <n v="0.3"/>
    <x v="1"/>
    <x v="1"/>
    <s v="Friends"/>
    <x v="0"/>
  </r>
  <r>
    <n v="19"/>
    <x v="1"/>
    <x v="0"/>
    <s v="Less than ₹2000"/>
    <n v="1500"/>
    <x v="0"/>
    <n v="1"/>
    <n v="0"/>
    <n v="0"/>
    <x v="1"/>
    <x v="1"/>
    <s v="Friends"/>
    <x v="1"/>
  </r>
  <r>
    <n v="20"/>
    <x v="0"/>
    <x v="2"/>
    <s v="Above ₹10000"/>
    <n v="12000"/>
    <x v="0"/>
    <n v="0.7"/>
    <n v="0.6"/>
    <n v="0.4"/>
    <x v="1"/>
    <x v="1"/>
    <s v="Friends"/>
    <x v="0"/>
  </r>
  <r>
    <n v="19"/>
    <x v="1"/>
    <x v="0"/>
    <s v="Above ₹10000"/>
    <n v="12000"/>
    <x v="0"/>
    <n v="0.5"/>
    <n v="0.3"/>
    <n v="0.2"/>
    <x v="0"/>
    <x v="3"/>
    <s v="Personal Needs"/>
    <x v="0"/>
  </r>
  <r>
    <n v="19"/>
    <x v="1"/>
    <x v="0"/>
    <s v="₹5000 – ₹10000"/>
    <n v="7500"/>
    <x v="0"/>
    <n v="0.6"/>
    <n v="0.15"/>
    <n v="0.15"/>
    <x v="1"/>
    <x v="1"/>
    <s v="Friends"/>
    <x v="0"/>
  </r>
  <r>
    <n v="18"/>
    <x v="1"/>
    <x v="0"/>
    <s v="₹2000 – ₹5000"/>
    <n v="3500"/>
    <x v="2"/>
    <n v="0.2"/>
    <n v="0.5"/>
    <n v="0.3"/>
    <x v="0"/>
    <x v="0"/>
    <s v="Personal Needs"/>
    <x v="0"/>
  </r>
  <r>
    <n v="19"/>
    <x v="1"/>
    <x v="0"/>
    <s v="₹2000 – ₹5000"/>
    <n v="3500"/>
    <x v="0"/>
    <n v="0.5"/>
    <n v="0.2"/>
    <n v="0.1"/>
    <x v="1"/>
    <x v="1"/>
    <s v="Personal Needs"/>
    <x v="0"/>
  </r>
  <r>
    <n v="19"/>
    <x v="1"/>
    <x v="0"/>
    <s v="₹2000 – ₹5000"/>
    <n v="3500"/>
    <x v="0"/>
    <n v="0.5"/>
    <n v="0.15"/>
    <n v="0.1"/>
    <x v="1"/>
    <x v="1"/>
    <s v="Discounts"/>
    <x v="0"/>
  </r>
  <r>
    <n v="20"/>
    <x v="1"/>
    <x v="0"/>
    <s v="Less than ₹2000"/>
    <n v="1500"/>
    <x v="0"/>
    <n v="0.45"/>
    <n v="0.08"/>
    <n v="0.05"/>
    <x v="0"/>
    <x v="0"/>
    <s v="Friends"/>
    <x v="1"/>
  </r>
  <r>
    <n v="19"/>
    <x v="0"/>
    <x v="0"/>
    <s v="₹2000 – ₹5000"/>
    <n v="3500"/>
    <x v="2"/>
    <n v="0.3"/>
    <n v="0.4"/>
    <n v="0.1"/>
    <x v="0"/>
    <x v="0"/>
    <s v="Personal Needs"/>
    <x v="0"/>
  </r>
  <r>
    <n v="19"/>
    <x v="1"/>
    <x v="2"/>
    <s v="₹2000 – ₹5000"/>
    <n v="3500"/>
    <x v="3"/>
    <n v="0.2"/>
    <n v="0.4"/>
    <n v="0.4"/>
    <x v="0"/>
    <x v="2"/>
    <s v="Friends"/>
    <x v="1"/>
  </r>
  <r>
    <n v="20"/>
    <x v="1"/>
    <x v="0"/>
    <s v="₹5000 – ₹10000"/>
    <n v="7500"/>
    <x v="0"/>
    <n v="0.5"/>
    <n v="0.2"/>
    <n v="0.2"/>
    <x v="0"/>
    <x v="0"/>
    <s v="Friends"/>
    <x v="0"/>
  </r>
  <r>
    <n v="22"/>
    <x v="1"/>
    <x v="3"/>
    <s v="₹2000 – ₹5000"/>
    <n v="3500"/>
    <x v="0"/>
    <n v="0.6"/>
    <n v="0.2"/>
    <n v="0.3"/>
    <x v="1"/>
    <x v="1"/>
    <s v="Friends"/>
    <x v="0"/>
  </r>
  <r>
    <n v="25"/>
    <x v="1"/>
    <x v="0"/>
    <s v="Less than ₹2000"/>
    <n v="1500"/>
    <x v="0"/>
    <n v="0.3"/>
    <n v="0.5"/>
    <n v="0.2"/>
    <x v="0"/>
    <x v="0"/>
    <s v="Personal Needs"/>
    <x v="0"/>
  </r>
  <r>
    <n v="21"/>
    <x v="0"/>
    <x v="0"/>
    <s v="₹2000 – ₹5000"/>
    <n v="3500"/>
    <x v="0"/>
    <n v="0.5"/>
    <n v="0.4"/>
    <n v="0.1"/>
    <x v="0"/>
    <x v="0"/>
    <s v="Personal Needs"/>
    <x v="0"/>
  </r>
  <r>
    <n v="18"/>
    <x v="1"/>
    <x v="2"/>
    <s v="Above ₹10000"/>
    <n v="12000"/>
    <x v="1"/>
    <n v="0.7"/>
    <n v="0.2"/>
    <n v="0.1"/>
    <x v="0"/>
    <x v="3"/>
    <s v="Discounts"/>
    <x v="1"/>
  </r>
  <r>
    <n v="18"/>
    <x v="1"/>
    <x v="0"/>
    <s v="₹2000 – ₹5000"/>
    <n v="3500"/>
    <x v="0"/>
    <n v="0.9"/>
    <n v="0.05"/>
    <n v="0.05"/>
    <x v="1"/>
    <x v="1"/>
    <s v="Personal Needs"/>
    <x v="0"/>
  </r>
  <r>
    <n v="23"/>
    <x v="1"/>
    <x v="2"/>
    <s v="Above ₹10000"/>
    <n v="12000"/>
    <x v="4"/>
    <n v="0.3"/>
    <n v="0.3"/>
    <n v="0.4"/>
    <x v="1"/>
    <x v="1"/>
    <s v="Personal Needs"/>
    <x v="0"/>
  </r>
  <r>
    <n v="19"/>
    <x v="0"/>
    <x v="0"/>
    <s v="Above ₹10000"/>
    <n v="12000"/>
    <x v="2"/>
    <n v="0.25"/>
    <n v="0.5"/>
    <n v="0.35"/>
    <x v="0"/>
    <x v="2"/>
    <s v="Discount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BEB12-AFAD-4544-B4E0-D60BF518EFF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4:E7" firstHeaderRow="1" firstDataRow="2" firstDataCol="1"/>
  <pivotFields count="13">
    <pivotField showAll="0"/>
    <pivotField showAll="0">
      <items count="5">
        <item x="0"/>
        <item x="1"/>
        <item m="1" x="2"/>
        <item m="1" x="3"/>
        <item t="default"/>
      </items>
    </pivotField>
    <pivotField showAll="0">
      <items count="6">
        <item x="1"/>
        <item x="3"/>
        <item x="2"/>
        <item x="0"/>
        <item m="1" x="4"/>
        <item t="default"/>
      </items>
    </pivotField>
    <pivotField showAll="0"/>
    <pivotField showAll="0"/>
    <pivotField showAll="0">
      <items count="7">
        <item x="1"/>
        <item x="0"/>
        <item x="2"/>
        <item x="3"/>
        <item x="4"/>
        <item m="1" x="5"/>
        <item t="default"/>
      </items>
    </pivotField>
    <pivotField numFmtId="9" showAll="0"/>
    <pivotField numFmtId="9" showAll="0"/>
    <pivotField numFmtId="9" showAll="0"/>
    <pivotField axis="axisRow" dataField="1" showAll="0">
      <items count="3">
        <item x="1"/>
        <item x="0"/>
        <item t="default"/>
      </items>
    </pivotField>
    <pivotField axis="axisCol" showAll="0">
      <items count="5">
        <item x="3"/>
        <item x="2"/>
        <item x="0"/>
        <item x="1"/>
        <item t="default"/>
      </items>
    </pivotField>
    <pivotField showAll="0"/>
    <pivotField showAll="0"/>
  </pivotFields>
  <rowFields count="1">
    <field x="9"/>
  </rowFields>
  <rowItems count="2">
    <i>
      <x/>
    </i>
    <i>
      <x v="1"/>
    </i>
  </rowItems>
  <colFields count="1">
    <field x="10"/>
  </colFields>
  <colItems count="4">
    <i>
      <x/>
    </i>
    <i>
      <x v="1"/>
    </i>
    <i>
      <x v="2"/>
    </i>
    <i>
      <x v="3"/>
    </i>
  </colItems>
  <dataFields count="1">
    <dataField name="Count of Do you save money?" fld="9" subtotal="count" baseField="9" baseItem="1"/>
  </dataFields>
  <chartFormats count="18">
    <chartFormat chart="22" format="0" series="1">
      <pivotArea type="data" outline="0" fieldPosition="0">
        <references count="2">
          <reference field="4294967294" count="1" selected="0">
            <x v="0"/>
          </reference>
          <reference field="10" count="1" selected="0">
            <x v="0"/>
          </reference>
        </references>
      </pivotArea>
    </chartFormat>
    <chartFormat chart="22" format="1" series="1">
      <pivotArea type="data" outline="0" fieldPosition="0">
        <references count="2">
          <reference field="4294967294" count="1" selected="0">
            <x v="0"/>
          </reference>
          <reference field="10" count="1" selected="0">
            <x v="1"/>
          </reference>
        </references>
      </pivotArea>
    </chartFormat>
    <chartFormat chart="22" format="2" series="1">
      <pivotArea type="data" outline="0" fieldPosition="0">
        <references count="2">
          <reference field="4294967294" count="1" selected="0">
            <x v="0"/>
          </reference>
          <reference field="10" count="1" selected="0">
            <x v="2"/>
          </reference>
        </references>
      </pivotArea>
    </chartFormat>
    <chartFormat chart="22" format="3" series="1">
      <pivotArea type="data" outline="0" fieldPosition="0">
        <references count="2">
          <reference field="4294967294" count="1" selected="0">
            <x v="0"/>
          </reference>
          <reference field="10" count="1" selected="0">
            <x v="3"/>
          </reference>
        </references>
      </pivotArea>
    </chartFormat>
    <chartFormat chart="22" format="4">
      <pivotArea type="data" outline="0" fieldPosition="0">
        <references count="3">
          <reference field="4294967294" count="1" selected="0">
            <x v="0"/>
          </reference>
          <reference field="9" count="1" selected="0">
            <x v="1"/>
          </reference>
          <reference field="10" count="1" selected="0">
            <x v="2"/>
          </reference>
        </references>
      </pivotArea>
    </chartFormat>
    <chartFormat chart="22" format="5">
      <pivotArea type="data" outline="0" fieldPosition="0">
        <references count="3">
          <reference field="4294967294" count="1" selected="0">
            <x v="0"/>
          </reference>
          <reference field="9" count="1" selected="0">
            <x v="1"/>
          </reference>
          <reference field="10" count="1" selected="0">
            <x v="1"/>
          </reference>
        </references>
      </pivotArea>
    </chartFormat>
    <chartFormat chart="22" format="6">
      <pivotArea type="data" outline="0" fieldPosition="0">
        <references count="3">
          <reference field="4294967294" count="1" selected="0">
            <x v="0"/>
          </reference>
          <reference field="9" count="1" selected="0">
            <x v="1"/>
          </reference>
          <reference field="10" count="1" selected="0">
            <x v="0"/>
          </reference>
        </references>
      </pivotArea>
    </chartFormat>
    <chartFormat chart="22" format="7">
      <pivotArea type="data" outline="0" fieldPosition="0">
        <references count="3">
          <reference field="4294967294" count="1" selected="0">
            <x v="0"/>
          </reference>
          <reference field="9" count="1" selected="0">
            <x v="0"/>
          </reference>
          <reference field="10" count="1" selected="0">
            <x v="3"/>
          </reference>
        </references>
      </pivotArea>
    </chartFormat>
    <chartFormat chart="25" format="16" series="1">
      <pivotArea type="data" outline="0" fieldPosition="0">
        <references count="2">
          <reference field="4294967294" count="1" selected="0">
            <x v="0"/>
          </reference>
          <reference field="10" count="1" selected="0">
            <x v="0"/>
          </reference>
        </references>
      </pivotArea>
    </chartFormat>
    <chartFormat chart="25" format="17">
      <pivotArea type="data" outline="0" fieldPosition="0">
        <references count="3">
          <reference field="4294967294" count="1" selected="0">
            <x v="0"/>
          </reference>
          <reference field="9" count="1" selected="0">
            <x v="1"/>
          </reference>
          <reference field="10" count="1" selected="0">
            <x v="0"/>
          </reference>
        </references>
      </pivotArea>
    </chartFormat>
    <chartFormat chart="25" format="18" series="1">
      <pivotArea type="data" outline="0" fieldPosition="0">
        <references count="2">
          <reference field="4294967294" count="1" selected="0">
            <x v="0"/>
          </reference>
          <reference field="10" count="1" selected="0">
            <x v="1"/>
          </reference>
        </references>
      </pivotArea>
    </chartFormat>
    <chartFormat chart="25" format="19">
      <pivotArea type="data" outline="0" fieldPosition="0">
        <references count="3">
          <reference field="4294967294" count="1" selected="0">
            <x v="0"/>
          </reference>
          <reference field="9" count="1" selected="0">
            <x v="1"/>
          </reference>
          <reference field="10" count="1" selected="0">
            <x v="1"/>
          </reference>
        </references>
      </pivotArea>
    </chartFormat>
    <chartFormat chart="25" format="20" series="1">
      <pivotArea type="data" outline="0" fieldPosition="0">
        <references count="2">
          <reference field="4294967294" count="1" selected="0">
            <x v="0"/>
          </reference>
          <reference field="10" count="1" selected="0">
            <x v="2"/>
          </reference>
        </references>
      </pivotArea>
    </chartFormat>
    <chartFormat chart="25" format="21">
      <pivotArea type="data" outline="0" fieldPosition="0">
        <references count="3">
          <reference field="4294967294" count="1" selected="0">
            <x v="0"/>
          </reference>
          <reference field="9" count="1" selected="0">
            <x v="1"/>
          </reference>
          <reference field="10" count="1" selected="0">
            <x v="2"/>
          </reference>
        </references>
      </pivotArea>
    </chartFormat>
    <chartFormat chart="25" format="22" series="1">
      <pivotArea type="data" outline="0" fieldPosition="0">
        <references count="2">
          <reference field="4294967294" count="1" selected="0">
            <x v="0"/>
          </reference>
          <reference field="10" count="1" selected="0">
            <x v="3"/>
          </reference>
        </references>
      </pivotArea>
    </chartFormat>
    <chartFormat chart="25" format="23">
      <pivotArea type="data" outline="0" fieldPosition="0">
        <references count="3">
          <reference field="4294967294" count="1" selected="0">
            <x v="0"/>
          </reference>
          <reference field="9" count="1" selected="0">
            <x v="0"/>
          </reference>
          <reference field="10" count="1" selected="0">
            <x v="3"/>
          </reference>
        </references>
      </pivotArea>
    </chartFormat>
    <chartFormat chart="25" format="24"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97709-7E2B-43A1-80E4-A04DC0C396F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5:B10" firstHeaderRow="1" firstDataRow="1" firstDataCol="1"/>
  <pivotFields count="13">
    <pivotField showAll="0"/>
    <pivotField showAll="0">
      <items count="5">
        <item x="0"/>
        <item x="1"/>
        <item m="1" x="2"/>
        <item m="1" x="3"/>
        <item t="default"/>
      </items>
    </pivotField>
    <pivotField showAll="0">
      <items count="6">
        <item x="1"/>
        <item x="3"/>
        <item x="2"/>
        <item x="0"/>
        <item m="1" x="4"/>
        <item t="default"/>
      </items>
    </pivotField>
    <pivotField showAll="0"/>
    <pivotField showAll="0"/>
    <pivotField axis="axisRow" dataField="1" showAll="0">
      <items count="7">
        <item x="1"/>
        <item x="0"/>
        <item x="2"/>
        <item x="3"/>
        <item x="4"/>
        <item m="1" x="5"/>
        <item t="default"/>
      </items>
    </pivotField>
    <pivotField numFmtId="9" showAll="0"/>
    <pivotField numFmtId="9" showAll="0"/>
    <pivotField numFmtId="9" showAll="0"/>
    <pivotField showAll="0">
      <items count="3">
        <item x="1"/>
        <item x="0"/>
        <item t="default"/>
      </items>
    </pivotField>
    <pivotField showAll="0"/>
    <pivotField showAll="0"/>
    <pivotField showAll="0"/>
  </pivotFields>
  <rowFields count="1">
    <field x="5"/>
  </rowFields>
  <rowItems count="5">
    <i>
      <x/>
    </i>
    <i>
      <x v="1"/>
    </i>
    <i>
      <x v="2"/>
    </i>
    <i>
      <x v="3"/>
    </i>
    <i>
      <x v="4"/>
    </i>
  </rowItems>
  <colItems count="1">
    <i/>
  </colItems>
  <dataFields count="1">
    <dataField name="Count of What is your main spending category?" fld="5" subtotal="count" baseField="0" baseItem="0"/>
  </dataFields>
  <chartFormats count="14">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5" count="1" selected="0">
            <x v="1"/>
          </reference>
        </references>
      </pivotArea>
    </chartFormat>
    <chartFormat chart="24" format="2">
      <pivotArea type="data" outline="0" fieldPosition="0">
        <references count="2">
          <reference field="4294967294" count="1" selected="0">
            <x v="0"/>
          </reference>
          <reference field="5" count="1" selected="0">
            <x v="2"/>
          </reference>
        </references>
      </pivotArea>
    </chartFormat>
    <chartFormat chart="24" format="3">
      <pivotArea type="data" outline="0" fieldPosition="0">
        <references count="2">
          <reference field="4294967294" count="1" selected="0">
            <x v="0"/>
          </reference>
          <reference field="5" count="1" selected="0">
            <x v="3"/>
          </reference>
        </references>
      </pivotArea>
    </chartFormat>
    <chartFormat chart="24" format="4">
      <pivotArea type="data" outline="0" fieldPosition="0">
        <references count="2">
          <reference field="4294967294" count="1" selected="0">
            <x v="0"/>
          </reference>
          <reference field="5" count="1" selected="0">
            <x v="4"/>
          </reference>
        </references>
      </pivotArea>
    </chartFormat>
    <chartFormat chart="24" format="5">
      <pivotArea type="data" outline="0" fieldPosition="0">
        <references count="2">
          <reference field="4294967294" count="1" selected="0">
            <x v="0"/>
          </reference>
          <reference field="5" count="1" selected="0">
            <x v="0"/>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5" count="1" selected="0">
            <x v="0"/>
          </reference>
        </references>
      </pivotArea>
    </chartFormat>
    <chartFormat chart="31" format="14">
      <pivotArea type="data" outline="0" fieldPosition="0">
        <references count="2">
          <reference field="4294967294" count="1" selected="0">
            <x v="0"/>
          </reference>
          <reference field="5" count="1" selected="0">
            <x v="1"/>
          </reference>
        </references>
      </pivotArea>
    </chartFormat>
    <chartFormat chart="31" format="15">
      <pivotArea type="data" outline="0" fieldPosition="0">
        <references count="2">
          <reference field="4294967294" count="1" selected="0">
            <x v="0"/>
          </reference>
          <reference field="5" count="1" selected="0">
            <x v="2"/>
          </reference>
        </references>
      </pivotArea>
    </chartFormat>
    <chartFormat chart="31" format="16">
      <pivotArea type="data" outline="0" fieldPosition="0">
        <references count="2">
          <reference field="4294967294" count="1" selected="0">
            <x v="0"/>
          </reference>
          <reference field="5" count="1" selected="0">
            <x v="3"/>
          </reference>
        </references>
      </pivotArea>
    </chartFormat>
    <chartFormat chart="31" format="17">
      <pivotArea type="data" outline="0" fieldPosition="0">
        <references count="2">
          <reference field="4294967294" count="1" selected="0">
            <x v="0"/>
          </reference>
          <reference field="5" count="1" selected="0">
            <x v="4"/>
          </reference>
        </references>
      </pivotArea>
    </chartFormat>
    <chartFormat chart="31" format="18">
      <pivotArea type="data" outline="0" fieldPosition="0">
        <references count="1">
          <reference field="4294967294" count="1" selected="0">
            <x v="0"/>
          </reference>
        </references>
      </pivotArea>
    </chartFormat>
    <chartFormat chart="24" format="6">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0C7505-8AB6-4C00-B6C5-9628CDCDF3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13">
    <pivotField showAll="0"/>
    <pivotField showAll="0">
      <items count="5">
        <item x="0"/>
        <item x="1"/>
        <item m="1" x="2"/>
        <item m="1" x="3"/>
        <item t="default"/>
      </items>
    </pivotField>
    <pivotField axis="axisRow" showAll="0">
      <items count="6">
        <item x="1"/>
        <item x="3"/>
        <item x="2"/>
        <item x="0"/>
        <item m="1" x="4"/>
        <item t="default"/>
      </items>
    </pivotField>
    <pivotField showAll="0"/>
    <pivotField dataField="1" showAll="0"/>
    <pivotField showAll="0">
      <items count="7">
        <item x="1"/>
        <item x="0"/>
        <item x="2"/>
        <item x="3"/>
        <item x="4"/>
        <item m="1" x="5"/>
        <item t="default"/>
      </items>
    </pivotField>
    <pivotField numFmtId="9" showAll="0"/>
    <pivotField numFmtId="9" showAll="0"/>
    <pivotField numFmtId="9" showAll="0"/>
    <pivotField showAll="0">
      <items count="3">
        <item x="1"/>
        <item x="0"/>
        <item t="default"/>
      </items>
    </pivotField>
    <pivotField showAll="0"/>
    <pivotField showAll="0"/>
    <pivotField showAll="0"/>
  </pivotFields>
  <rowFields count="1">
    <field x="2"/>
  </rowFields>
  <rowItems count="5">
    <i>
      <x/>
    </i>
    <i>
      <x v="1"/>
    </i>
    <i>
      <x v="2"/>
    </i>
    <i>
      <x v="3"/>
    </i>
    <i t="grand">
      <x/>
    </i>
  </rowItems>
  <colItems count="1">
    <i/>
  </colItems>
  <dataFields count="1">
    <dataField name="Average of How much do you spend monthly? 3" fld="4" subtotal="average" baseField="2" baseItem="0"/>
  </dataFields>
  <chartFormats count="7">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2" count="1" selected="0">
            <x v="2"/>
          </reference>
        </references>
      </pivotArea>
    </chartFormat>
    <chartFormat chart="15" format="2">
      <pivotArea type="data" outline="0" fieldPosition="0">
        <references count="2">
          <reference field="4294967294" count="1" selected="0">
            <x v="0"/>
          </reference>
          <reference field="2" count="1" selected="0">
            <x v="3"/>
          </reference>
        </references>
      </pivotArea>
    </chartFormat>
    <chartFormat chart="15" format="3">
      <pivotArea type="data" outline="0" fieldPosition="0">
        <references count="2">
          <reference field="4294967294" count="1" selected="0">
            <x v="0"/>
          </reference>
          <reference field="2" count="1" selected="0">
            <x v="0"/>
          </reference>
        </references>
      </pivotArea>
    </chartFormat>
    <chartFormat chart="15" format="4">
      <pivotArea type="data" outline="0" fieldPosition="0">
        <references count="2">
          <reference field="4294967294" count="1" selected="0">
            <x v="0"/>
          </reference>
          <reference field="2" count="1" selected="0">
            <x v="1"/>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9DB6B-6CA9-41C1-A0E0-571BD7B430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G7" firstHeaderRow="1" firstDataRow="2" firstDataCol="1"/>
  <pivotFields count="13">
    <pivotField showAll="0"/>
    <pivotField axis="axisRow" showAll="0">
      <items count="5">
        <item x="0"/>
        <item x="1"/>
        <item m="1" x="2"/>
        <item m="1" x="3"/>
        <item t="default"/>
      </items>
    </pivotField>
    <pivotField showAll="0">
      <items count="6">
        <item x="1"/>
        <item x="3"/>
        <item x="2"/>
        <item x="0"/>
        <item m="1" x="4"/>
        <item t="default"/>
      </items>
    </pivotField>
    <pivotField showAll="0"/>
    <pivotField showAll="0"/>
    <pivotField axis="axisCol" dataField="1" showAll="0">
      <items count="7">
        <item x="1"/>
        <item x="0"/>
        <item x="2"/>
        <item x="3"/>
        <item x="4"/>
        <item m="1" x="5"/>
        <item t="default"/>
      </items>
    </pivotField>
    <pivotField showAll="0"/>
    <pivotField showAll="0"/>
    <pivotField showAll="0"/>
    <pivotField showAll="0">
      <items count="3">
        <item x="1"/>
        <item x="0"/>
        <item t="default"/>
      </items>
    </pivotField>
    <pivotField showAll="0"/>
    <pivotField showAll="0"/>
    <pivotField showAll="0"/>
  </pivotFields>
  <rowFields count="1">
    <field x="1"/>
  </rowFields>
  <rowItems count="3">
    <i>
      <x/>
    </i>
    <i>
      <x v="1"/>
    </i>
    <i t="grand">
      <x/>
    </i>
  </rowItems>
  <colFields count="1">
    <field x="5"/>
  </colFields>
  <colItems count="6">
    <i>
      <x/>
    </i>
    <i>
      <x v="1"/>
    </i>
    <i>
      <x v="2"/>
    </i>
    <i>
      <x v="3"/>
    </i>
    <i>
      <x v="4"/>
    </i>
    <i t="grand">
      <x/>
    </i>
  </colItems>
  <dataFields count="1">
    <dataField name="Count of What is your main spending category?" fld="5" subtotal="count" baseField="1" baseItem="0"/>
  </dataFields>
  <chartFormats count="12">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2"/>
          </reference>
        </references>
      </pivotArea>
    </chartFormat>
    <chartFormat chart="10" format="3" series="1">
      <pivotArea type="data" outline="0" fieldPosition="0">
        <references count="2">
          <reference field="4294967294" count="1" selected="0">
            <x v="0"/>
          </reference>
          <reference field="5" count="1" selected="0">
            <x v="3"/>
          </reference>
        </references>
      </pivotArea>
    </chartFormat>
    <chartFormat chart="10" format="4" series="1">
      <pivotArea type="data" outline="0" fieldPosition="0">
        <references count="2">
          <reference field="4294967294" count="1" selected="0">
            <x v="0"/>
          </reference>
          <reference field="5" count="1" selected="0">
            <x v="4"/>
          </reference>
        </references>
      </pivotArea>
    </chartFormat>
    <chartFormat chart="14" format="15" series="1">
      <pivotArea type="data" outline="0" fieldPosition="0">
        <references count="2">
          <reference field="4294967294" count="1" selected="0">
            <x v="0"/>
          </reference>
          <reference field="5" count="1" selected="0">
            <x v="0"/>
          </reference>
        </references>
      </pivotArea>
    </chartFormat>
    <chartFormat chart="14" format="16" series="1">
      <pivotArea type="data" outline="0" fieldPosition="0">
        <references count="2">
          <reference field="4294967294" count="1" selected="0">
            <x v="0"/>
          </reference>
          <reference field="5" count="1" selected="0">
            <x v="1"/>
          </reference>
        </references>
      </pivotArea>
    </chartFormat>
    <chartFormat chart="14" format="17" series="1">
      <pivotArea type="data" outline="0" fieldPosition="0">
        <references count="2">
          <reference field="4294967294" count="1" selected="0">
            <x v="0"/>
          </reference>
          <reference field="5" count="1" selected="0">
            <x v="2"/>
          </reference>
        </references>
      </pivotArea>
    </chartFormat>
    <chartFormat chart="14" format="18" series="1">
      <pivotArea type="data" outline="0" fieldPosition="0">
        <references count="2">
          <reference field="4294967294" count="1" selected="0">
            <x v="0"/>
          </reference>
          <reference field="5" count="1" selected="0">
            <x v="3"/>
          </reference>
        </references>
      </pivotArea>
    </chartFormat>
    <chartFormat chart="14" format="19" series="1">
      <pivotArea type="data" outline="0" fieldPosition="0">
        <references count="2">
          <reference field="4294967294" count="1" selected="0">
            <x v="0"/>
          </reference>
          <reference field="5" count="1" selected="0">
            <x v="4"/>
          </reference>
        </references>
      </pivotArea>
    </chartFormat>
    <chartFormat chart="14" format="2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74226-A1ED-4C5B-B4BF-2B0A4E813BE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4:B7" firstHeaderRow="1" firstDataRow="1" firstDataCol="1"/>
  <pivotFields count="13">
    <pivotField showAll="0"/>
    <pivotField showAll="0">
      <items count="5">
        <item x="0"/>
        <item x="1"/>
        <item m="1" x="2"/>
        <item m="1" x="3"/>
        <item t="default"/>
      </items>
    </pivotField>
    <pivotField showAll="0">
      <items count="6">
        <item x="1"/>
        <item x="3"/>
        <item x="2"/>
        <item x="0"/>
        <item m="1" x="4"/>
        <item t="default"/>
      </items>
    </pivotField>
    <pivotField showAll="0"/>
    <pivotField showAll="0"/>
    <pivotField showAll="0">
      <items count="7">
        <item x="1"/>
        <item x="0"/>
        <item x="2"/>
        <item x="3"/>
        <item x="4"/>
        <item m="1" x="5"/>
        <item t="default"/>
      </items>
    </pivotField>
    <pivotField numFmtId="9" showAll="0"/>
    <pivotField numFmtId="9" showAll="0"/>
    <pivotField numFmtId="9" showAll="0"/>
    <pivotField showAll="0">
      <items count="3">
        <item x="1"/>
        <item x="0"/>
        <item t="default"/>
      </items>
    </pivotField>
    <pivotField showAll="0"/>
    <pivotField showAll="0"/>
    <pivotField axis="axisRow" dataField="1" showAll="0">
      <items count="4">
        <item x="1"/>
        <item x="2"/>
        <item x="0"/>
        <item t="default"/>
      </items>
    </pivotField>
  </pivotFields>
  <rowFields count="1">
    <field x="12"/>
  </rowFields>
  <rowItems count="3">
    <i>
      <x/>
    </i>
    <i>
      <x v="1"/>
    </i>
    <i>
      <x v="2"/>
    </i>
  </rowItems>
  <colItems count="1">
    <i/>
  </colItems>
  <dataFields count="1">
    <dataField name="Count of Preferred payment method" fld="12" subtotal="count" baseField="0" baseItem="0"/>
  </dataFields>
  <chartFormats count="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12" count="1" selected="0">
            <x v="2"/>
          </reference>
        </references>
      </pivotArea>
    </chartFormat>
    <chartFormat chart="24" format="2">
      <pivotArea type="data" outline="0" fieldPosition="0">
        <references count="2">
          <reference field="4294967294" count="1" selected="0">
            <x v="0"/>
          </reference>
          <reference field="12" count="1" selected="0">
            <x v="0"/>
          </reference>
        </references>
      </pivotArea>
    </chartFormat>
    <chartFormat chart="24" format="3">
      <pivotArea type="data" outline="0" fieldPosition="0">
        <references count="2">
          <reference field="4294967294" count="1" selected="0">
            <x v="0"/>
          </reference>
          <reference field="12"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2" count="1" selected="0">
            <x v="0"/>
          </reference>
        </references>
      </pivotArea>
    </chartFormat>
    <chartFormat chart="27" format="10">
      <pivotArea type="data" outline="0" fieldPosition="0">
        <references count="2">
          <reference field="4294967294" count="1" selected="0">
            <x v="0"/>
          </reference>
          <reference field="12" count="1" selected="0">
            <x v="1"/>
          </reference>
        </references>
      </pivotArea>
    </chartFormat>
    <chartFormat chart="27" format="11">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5FEB55-7640-4821-AB5C-3388B10A36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 firstHeaderRow="1" firstDataRow="1" firstDataCol="1"/>
  <pivotFields count="13">
    <pivotField showAll="0"/>
    <pivotField axis="axisRow" showAll="0">
      <items count="5">
        <item x="0"/>
        <item x="1"/>
        <item m="1" x="2"/>
        <item m="1" x="3"/>
        <item t="default"/>
      </items>
    </pivotField>
    <pivotField showAll="0">
      <items count="6">
        <item x="1"/>
        <item x="3"/>
        <item x="2"/>
        <item x="0"/>
        <item m="1" x="4"/>
        <item t="default"/>
      </items>
    </pivotField>
    <pivotField showAll="0"/>
    <pivotField dataField="1" showAll="0"/>
    <pivotField showAll="0">
      <items count="7">
        <item x="1"/>
        <item x="0"/>
        <item x="2"/>
        <item x="3"/>
        <item x="4"/>
        <item m="1" x="5"/>
        <item t="default"/>
      </items>
    </pivotField>
    <pivotField numFmtId="9" showAll="0"/>
    <pivotField numFmtId="9" showAll="0"/>
    <pivotField numFmtId="9" showAll="0"/>
    <pivotField showAll="0">
      <items count="3">
        <item x="1"/>
        <item x="0"/>
        <item t="default"/>
      </items>
    </pivotField>
    <pivotField showAll="0"/>
    <pivotField showAll="0"/>
    <pivotField showAll="0"/>
  </pivotFields>
  <rowFields count="1">
    <field x="1"/>
  </rowFields>
  <rowItems count="3">
    <i>
      <x/>
    </i>
    <i>
      <x v="1"/>
    </i>
    <i t="grand">
      <x/>
    </i>
  </rowItems>
  <colItems count="1">
    <i/>
  </colItems>
  <dataFields count="1">
    <dataField name="Sum of How much do you spend monthly? 3" fld="4" baseField="0" baseItem="0"/>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FEB9EC4-4F2A-4E14-8F2C-8BDA7745745B}" sourceName="Gender">
  <pivotTables>
    <pivotTable tabId="17" name="PivotTable3"/>
  </pivotTables>
  <data>
    <tabular pivotCacheId="1199477327">
      <items count="4">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_you_save_money?" xr10:uid="{267639BB-D75B-45CD-A193-7DD884843280}" sourceName="Do you save money?">
  <pivotTables>
    <pivotTable tabId="17" name="PivotTable3"/>
  </pivotTables>
  <data>
    <tabular pivotCacheId="11994773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your_main_spending_category?" xr10:uid="{4FE6D2C3-3283-4173-80F7-A7DBC07B7533}" sourceName="What is your main spending category?">
  <pivotTables>
    <pivotTable tabId="17" name="PivotTable3"/>
  </pivotTables>
  <data>
    <tabular pivotCacheId="1199477327">
      <items count="6">
        <i x="1" s="1"/>
        <i x="0"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is_your_monthly_allowance_income?" xr10:uid="{519DC5C6-19E0-466E-AA88-C1186FB4B326}" sourceName="What is your monthly allowance/income?">
  <pivotTables>
    <pivotTable tabId="17" name="PivotTable3"/>
  </pivotTables>
  <data>
    <tabular pivotCacheId="1199477327">
      <items count="5">
        <i x="1" s="1"/>
        <i x="3" s="1"/>
        <i x="2"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44E724-8043-41D3-8465-FB89F0D9A3B4}" cache="Slicer_Gender" caption="Gender" rowHeight="209550"/>
  <slicer name="Do you save money?" xr10:uid="{410D3393-01D2-42CE-A7B5-485D8127FDFE}" cache="Slicer_Do_you_save_money?" caption="Do you save money?" rowHeight="209550"/>
  <slicer name="What is your main spending category?" xr10:uid="{2C046C1A-5918-4F26-A6EC-5C8CE18C15B2}" cache="Slicer_What_is_your_main_spending_category?" caption="What is your main spending category?" rowHeight="209550"/>
  <slicer name="What is your monthly allowance/income?" xr10:uid="{E77BBFDD-DB54-454C-BE07-9ACAF988DC15}" cache="Slicer_What_is_your_monthly_allowance_income?" caption="What is your monthly allowance/incom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48" headerRowDxfId="16" dataDxfId="14" totalsRowDxfId="13" headerRowBorderDxfId="15">
  <autoFilter ref="A1:M48" xr:uid="{00000000-000C-0000-FFFF-FFFF00000000}"/>
  <tableColumns count="13">
    <tableColumn id="2" xr3:uid="{00000000-0010-0000-0000-000002000000}" name="Age" dataDxfId="12"/>
    <tableColumn id="3" xr3:uid="{00000000-0010-0000-0000-000003000000}" name="Gender" dataDxfId="11"/>
    <tableColumn id="4" xr3:uid="{00000000-0010-0000-0000-000004000000}" name="Allowance" dataDxfId="10"/>
    <tableColumn id="6" xr3:uid="{00000000-0010-0000-0000-000006000000}" name="Spendings" dataDxfId="9"/>
    <tableColumn id="5" xr3:uid="{CB1508BE-B22C-4C97-8DFE-DDF4EE7CFF36}" name="Avg of Spending" dataDxfId="8">
      <calculatedColumnFormula>IF(D2="₹2000 – ₹5000",3500,
IF(D2="₹5000 – ₹10000",7500,
IF(D2="Less than ₹2000",1500,
IF(D2="Above ₹10000",12000,""))))</calculatedColumnFormula>
    </tableColumn>
    <tableColumn id="7" xr3:uid="{00000000-0010-0000-0000-000007000000}" name="Main spending category" dataDxfId="7"/>
    <tableColumn id="8" xr3:uid="{00000000-0010-0000-0000-000008000000}" name="Approx  of money spent on Food." dataDxfId="6" dataCellStyle="Percent"/>
    <tableColumn id="9" xr3:uid="{00000000-0010-0000-0000-000009000000}" name="Approx % of money spent on Shopping." dataDxfId="5" dataCellStyle="Percent"/>
    <tableColumn id="10" xr3:uid="{00000000-0010-0000-0000-00000A000000}" name="Approx % of money spent on Travel." dataDxfId="4" dataCellStyle="Percent"/>
    <tableColumn id="11" xr3:uid="{00000000-0010-0000-0000-00000B000000}" name="save money?" dataDxfId="3"/>
    <tableColumn id="13" xr3:uid="{00000000-0010-0000-0000-00000D000000}" name="Amount Save Monthly" dataDxfId="2"/>
    <tableColumn id="14" xr3:uid="{00000000-0010-0000-0000-00000E000000}" name="What influences your spending the most?" dataDxfId="1"/>
    <tableColumn id="15" xr3:uid="{00000000-0010-0000-0000-00000F000000}" name="Preferred payment method"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8"/>
  <sheetViews>
    <sheetView topLeftCell="E1" zoomScale="79" zoomScaleNormal="61" workbookViewId="0">
      <selection activeCell="Q6" sqref="Q6"/>
    </sheetView>
  </sheetViews>
  <sheetFormatPr defaultColWidth="12.6640625" defaultRowHeight="15.75" customHeight="1" x14ac:dyDescent="0.25"/>
  <cols>
    <col min="1" max="1" width="7.44140625" style="2" customWidth="1"/>
    <col min="2" max="2" width="13.77734375" style="2" customWidth="1"/>
    <col min="3" max="3" width="16.88671875" style="2" customWidth="1"/>
    <col min="4" max="4" width="16.6640625" style="2" customWidth="1"/>
    <col min="5" max="5" width="22.33203125" style="2" customWidth="1"/>
    <col min="6" max="6" width="32.88671875" style="4" customWidth="1"/>
    <col min="7" max="7" width="10.77734375" style="4" customWidth="1"/>
    <col min="8" max="8" width="10.5546875" style="4" customWidth="1"/>
    <col min="9" max="10" width="18.88671875" style="2" customWidth="1"/>
    <col min="11" max="11" width="30.21875" style="2" customWidth="1"/>
    <col min="12" max="12" width="0.5546875" style="2" customWidth="1"/>
    <col min="13" max="13" width="36" style="2" customWidth="1"/>
    <col min="14" max="18" width="18.88671875" style="2" customWidth="1"/>
    <col min="19" max="16384" width="12.6640625" style="2"/>
  </cols>
  <sheetData>
    <row r="1" spans="1:13" s="30" customFormat="1" ht="22.5" customHeight="1" thickBot="1" x14ac:dyDescent="0.35">
      <c r="A1" s="28" t="s">
        <v>0</v>
      </c>
      <c r="B1" s="28" t="s">
        <v>1</v>
      </c>
      <c r="C1" s="28" t="s">
        <v>44</v>
      </c>
      <c r="D1" s="28" t="s">
        <v>45</v>
      </c>
      <c r="E1" s="28" t="s">
        <v>43</v>
      </c>
      <c r="F1" s="28" t="s">
        <v>46</v>
      </c>
      <c r="G1" s="29" t="s">
        <v>30</v>
      </c>
      <c r="H1" s="29" t="s">
        <v>2</v>
      </c>
      <c r="I1" s="29" t="s">
        <v>3</v>
      </c>
      <c r="J1" s="28" t="s">
        <v>47</v>
      </c>
      <c r="K1" s="28" t="s">
        <v>48</v>
      </c>
      <c r="L1" s="28" t="s">
        <v>4</v>
      </c>
      <c r="M1" s="28" t="s">
        <v>5</v>
      </c>
    </row>
    <row r="2" spans="1:13" ht="22.5" customHeight="1" x14ac:dyDescent="0.25">
      <c r="A2" s="1">
        <v>21</v>
      </c>
      <c r="B2" s="1" t="s">
        <v>6</v>
      </c>
      <c r="C2" s="1" t="s">
        <v>7</v>
      </c>
      <c r="D2" s="1" t="s">
        <v>36</v>
      </c>
      <c r="E2" s="1">
        <f>IF(D2="₹2000 – ₹5000",3500,
IF(D2="₹5000 – ₹10000",7500,
IF(D2="Less than ₹2000",1500,
IF(D2="Above ₹10000",12000,""))))</f>
        <v>3500</v>
      </c>
      <c r="F2" s="1" t="s">
        <v>9</v>
      </c>
      <c r="G2" s="3">
        <v>0.5</v>
      </c>
      <c r="H2" s="3">
        <v>0.2</v>
      </c>
      <c r="I2" s="4">
        <v>0.05</v>
      </c>
      <c r="J2" s="1" t="s">
        <v>15</v>
      </c>
      <c r="K2" s="1" t="s">
        <v>11</v>
      </c>
      <c r="L2" s="1" t="s">
        <v>12</v>
      </c>
      <c r="M2" s="1" t="s">
        <v>13</v>
      </c>
    </row>
    <row r="3" spans="1:13" ht="22.5" customHeight="1" x14ac:dyDescent="0.25">
      <c r="A3" s="1">
        <v>19</v>
      </c>
      <c r="B3" s="1" t="s">
        <v>14</v>
      </c>
      <c r="C3" s="1" t="s">
        <v>8</v>
      </c>
      <c r="D3" s="1" t="s">
        <v>36</v>
      </c>
      <c r="E3" s="1">
        <f t="shared" ref="E3:E48" si="0">IF(D3="₹2000 – ₹5000",3500,
IF(D3="₹5000 – ₹10000",7500,
IF(D3="Less than ₹2000",1500,
IF(D3="Above ₹10000",12000,""))))</f>
        <v>3500</v>
      </c>
      <c r="F3" s="1" t="s">
        <v>9</v>
      </c>
      <c r="G3" s="3">
        <v>0.6</v>
      </c>
      <c r="H3" s="3">
        <v>0.2</v>
      </c>
      <c r="I3" s="4">
        <v>0.05</v>
      </c>
      <c r="J3" s="1" t="s">
        <v>15</v>
      </c>
      <c r="K3" s="1" t="s">
        <v>11</v>
      </c>
      <c r="L3" s="1" t="s">
        <v>16</v>
      </c>
      <c r="M3" s="1" t="s">
        <v>13</v>
      </c>
    </row>
    <row r="4" spans="1:13" ht="22.5" customHeight="1" x14ac:dyDescent="0.25">
      <c r="A4" s="1">
        <v>19</v>
      </c>
      <c r="B4" s="1" t="s">
        <v>14</v>
      </c>
      <c r="C4" s="1" t="s">
        <v>8</v>
      </c>
      <c r="D4" s="1" t="s">
        <v>36</v>
      </c>
      <c r="E4" s="1">
        <f t="shared" si="0"/>
        <v>3500</v>
      </c>
      <c r="F4" s="1" t="s">
        <v>9</v>
      </c>
      <c r="G4" s="3">
        <v>0.6</v>
      </c>
      <c r="H4" s="3">
        <v>0.1</v>
      </c>
      <c r="I4" s="4">
        <v>0.05</v>
      </c>
      <c r="J4" s="1" t="s">
        <v>15</v>
      </c>
      <c r="K4" s="1" t="s">
        <v>11</v>
      </c>
      <c r="L4" s="1" t="s">
        <v>16</v>
      </c>
      <c r="M4" s="1" t="s">
        <v>13</v>
      </c>
    </row>
    <row r="5" spans="1:13" ht="22.5" customHeight="1" x14ac:dyDescent="0.25">
      <c r="A5" s="1">
        <v>20</v>
      </c>
      <c r="B5" s="1" t="s">
        <v>14</v>
      </c>
      <c r="C5" s="1" t="s">
        <v>7</v>
      </c>
      <c r="D5" s="1" t="s">
        <v>7</v>
      </c>
      <c r="E5" s="1">
        <f t="shared" si="0"/>
        <v>1500</v>
      </c>
      <c r="F5" s="1" t="s">
        <v>9</v>
      </c>
      <c r="G5" s="3">
        <v>0.9</v>
      </c>
      <c r="H5" s="3">
        <v>0.05</v>
      </c>
      <c r="I5" s="4">
        <v>0.05</v>
      </c>
      <c r="J5" s="1" t="s">
        <v>15</v>
      </c>
      <c r="K5" s="1" t="s">
        <v>11</v>
      </c>
      <c r="L5" s="1" t="s">
        <v>16</v>
      </c>
      <c r="M5" s="1" t="s">
        <v>13</v>
      </c>
    </row>
    <row r="6" spans="1:13" ht="22.5" customHeight="1" x14ac:dyDescent="0.25">
      <c r="A6" s="1">
        <v>20</v>
      </c>
      <c r="B6" s="1" t="s">
        <v>14</v>
      </c>
      <c r="C6" s="1" t="s">
        <v>7</v>
      </c>
      <c r="D6" s="1" t="s">
        <v>37</v>
      </c>
      <c r="E6" s="1">
        <f t="shared" si="0"/>
        <v>7500</v>
      </c>
      <c r="F6" s="1" t="s">
        <v>9</v>
      </c>
      <c r="G6" s="3">
        <v>0.6</v>
      </c>
      <c r="H6" s="3">
        <v>0.1</v>
      </c>
      <c r="I6" s="4">
        <v>0.2</v>
      </c>
      <c r="J6" s="1" t="s">
        <v>10</v>
      </c>
      <c r="K6" s="2" t="s">
        <v>29</v>
      </c>
      <c r="L6" s="1" t="s">
        <v>16</v>
      </c>
      <c r="M6" s="1" t="s">
        <v>13</v>
      </c>
    </row>
    <row r="7" spans="1:13" ht="22.5" customHeight="1" x14ac:dyDescent="0.25">
      <c r="A7" s="1">
        <v>18</v>
      </c>
      <c r="B7" s="1" t="s">
        <v>6</v>
      </c>
      <c r="C7" s="1" t="s">
        <v>7</v>
      </c>
      <c r="D7" s="1" t="s">
        <v>18</v>
      </c>
      <c r="E7" s="1">
        <f t="shared" si="0"/>
        <v>12000</v>
      </c>
      <c r="F7" s="1" t="s">
        <v>19</v>
      </c>
      <c r="G7" s="3">
        <v>0.2</v>
      </c>
      <c r="H7" s="3">
        <v>0</v>
      </c>
      <c r="I7" s="4">
        <v>0.1</v>
      </c>
      <c r="J7" s="1" t="s">
        <v>15</v>
      </c>
      <c r="K7" s="1" t="s">
        <v>20</v>
      </c>
      <c r="L7" s="1" t="s">
        <v>12</v>
      </c>
      <c r="M7" s="1" t="s">
        <v>21</v>
      </c>
    </row>
    <row r="8" spans="1:13" ht="22.5" customHeight="1" x14ac:dyDescent="0.25">
      <c r="A8" s="1">
        <v>25</v>
      </c>
      <c r="B8" s="1" t="s">
        <v>14</v>
      </c>
      <c r="C8" s="1" t="s">
        <v>7</v>
      </c>
      <c r="D8" s="1" t="s">
        <v>36</v>
      </c>
      <c r="E8" s="1">
        <f t="shared" si="0"/>
        <v>3500</v>
      </c>
      <c r="F8" s="1" t="s">
        <v>9</v>
      </c>
      <c r="G8" s="3">
        <v>0.2</v>
      </c>
      <c r="H8" s="3">
        <v>0</v>
      </c>
      <c r="I8" s="4">
        <v>0.5</v>
      </c>
      <c r="J8" s="1" t="s">
        <v>15</v>
      </c>
      <c r="K8" s="1" t="s">
        <v>11</v>
      </c>
      <c r="L8" s="1" t="s">
        <v>12</v>
      </c>
      <c r="M8" s="1" t="s">
        <v>22</v>
      </c>
    </row>
    <row r="9" spans="1:13" ht="22.5" customHeight="1" x14ac:dyDescent="0.25">
      <c r="A9" s="1">
        <v>21</v>
      </c>
      <c r="B9" s="1" t="s">
        <v>6</v>
      </c>
      <c r="C9" s="1" t="s">
        <v>7</v>
      </c>
      <c r="D9" s="1" t="s">
        <v>18</v>
      </c>
      <c r="E9" s="1">
        <f t="shared" si="0"/>
        <v>12000</v>
      </c>
      <c r="F9" s="1" t="s">
        <v>23</v>
      </c>
      <c r="G9" s="3">
        <v>0.2</v>
      </c>
      <c r="H9" s="3">
        <v>0.11</v>
      </c>
      <c r="I9" s="4">
        <v>0.33</v>
      </c>
      <c r="J9" s="1" t="s">
        <v>10</v>
      </c>
      <c r="K9" s="1" t="s">
        <v>29</v>
      </c>
      <c r="L9" s="1" t="s">
        <v>12</v>
      </c>
      <c r="M9" s="1" t="s">
        <v>22</v>
      </c>
    </row>
    <row r="10" spans="1:13" ht="22.5" customHeight="1" x14ac:dyDescent="0.25">
      <c r="A10" s="1">
        <v>19</v>
      </c>
      <c r="B10" s="1" t="s">
        <v>6</v>
      </c>
      <c r="C10" s="1" t="s">
        <v>7</v>
      </c>
      <c r="D10" s="1" t="s">
        <v>36</v>
      </c>
      <c r="E10" s="1">
        <f t="shared" si="0"/>
        <v>3500</v>
      </c>
      <c r="F10" s="1" t="s">
        <v>9</v>
      </c>
      <c r="G10" s="3">
        <v>0.5</v>
      </c>
      <c r="H10" s="3">
        <v>0.1</v>
      </c>
      <c r="I10" s="4">
        <v>0.2</v>
      </c>
      <c r="J10" s="1" t="s">
        <v>15</v>
      </c>
      <c r="K10" s="1" t="s">
        <v>11</v>
      </c>
      <c r="L10" s="1" t="s">
        <v>12</v>
      </c>
      <c r="M10" s="1" t="s">
        <v>21</v>
      </c>
    </row>
    <row r="11" spans="1:13" ht="22.5" customHeight="1" x14ac:dyDescent="0.25">
      <c r="A11" s="1">
        <v>18</v>
      </c>
      <c r="B11" s="1" t="s">
        <v>14</v>
      </c>
      <c r="C11" s="1" t="s">
        <v>8</v>
      </c>
      <c r="D11" s="1" t="s">
        <v>7</v>
      </c>
      <c r="E11" s="1">
        <f t="shared" si="0"/>
        <v>1500</v>
      </c>
      <c r="F11" s="1" t="s">
        <v>24</v>
      </c>
      <c r="G11" s="3">
        <v>0.55000000000000004</v>
      </c>
      <c r="H11" s="3">
        <v>0.5</v>
      </c>
      <c r="I11" s="4">
        <v>0</v>
      </c>
      <c r="J11" s="1" t="s">
        <v>15</v>
      </c>
      <c r="K11" s="1" t="s">
        <v>11</v>
      </c>
      <c r="L11" s="1" t="s">
        <v>12</v>
      </c>
      <c r="M11" s="1" t="s">
        <v>13</v>
      </c>
    </row>
    <row r="12" spans="1:13" ht="22.5" customHeight="1" x14ac:dyDescent="0.25">
      <c r="A12" s="1">
        <v>19</v>
      </c>
      <c r="B12" s="1" t="s">
        <v>14</v>
      </c>
      <c r="C12" s="1" t="s">
        <v>18</v>
      </c>
      <c r="D12" s="1" t="s">
        <v>18</v>
      </c>
      <c r="E12" s="1">
        <f t="shared" si="0"/>
        <v>12000</v>
      </c>
      <c r="F12" s="1" t="s">
        <v>9</v>
      </c>
      <c r="G12" s="3">
        <v>0.8</v>
      </c>
      <c r="H12" s="3">
        <v>0.1</v>
      </c>
      <c r="I12" s="4">
        <v>0.1</v>
      </c>
      <c r="J12" s="1" t="s">
        <v>15</v>
      </c>
      <c r="K12" s="1" t="s">
        <v>11</v>
      </c>
      <c r="L12" s="1" t="s">
        <v>12</v>
      </c>
      <c r="M12" s="1" t="s">
        <v>13</v>
      </c>
    </row>
    <row r="13" spans="1:13" ht="22.5" customHeight="1" x14ac:dyDescent="0.25">
      <c r="A13" s="1">
        <v>20</v>
      </c>
      <c r="B13" s="1" t="s">
        <v>14</v>
      </c>
      <c r="C13" s="1" t="s">
        <v>7</v>
      </c>
      <c r="D13" s="1" t="s">
        <v>36</v>
      </c>
      <c r="E13" s="1">
        <f t="shared" si="0"/>
        <v>3500</v>
      </c>
      <c r="F13" s="1" t="s">
        <v>9</v>
      </c>
      <c r="G13" s="3">
        <v>0.75</v>
      </c>
      <c r="H13" s="3">
        <v>0.12</v>
      </c>
      <c r="I13" s="4">
        <v>0.1</v>
      </c>
      <c r="J13" s="1" t="s">
        <v>10</v>
      </c>
      <c r="K13" s="2" t="s">
        <v>29</v>
      </c>
      <c r="L13" s="1" t="s">
        <v>16</v>
      </c>
      <c r="M13" s="1" t="s">
        <v>13</v>
      </c>
    </row>
    <row r="14" spans="1:13" ht="22.5" customHeight="1" x14ac:dyDescent="0.25">
      <c r="A14" s="1">
        <v>26</v>
      </c>
      <c r="B14" s="1" t="s">
        <v>6</v>
      </c>
      <c r="C14" s="1" t="s">
        <v>18</v>
      </c>
      <c r="D14" s="1" t="s">
        <v>37</v>
      </c>
      <c r="E14" s="1">
        <f t="shared" si="0"/>
        <v>7500</v>
      </c>
      <c r="F14" s="1" t="s">
        <v>23</v>
      </c>
      <c r="G14" s="3">
        <v>0.1</v>
      </c>
      <c r="H14" s="3">
        <v>0.1</v>
      </c>
      <c r="I14" s="4">
        <v>0.05</v>
      </c>
      <c r="J14" s="1" t="s">
        <v>15</v>
      </c>
      <c r="K14" s="1" t="s">
        <v>20</v>
      </c>
      <c r="L14" s="1" t="s">
        <v>12</v>
      </c>
      <c r="M14" s="1" t="s">
        <v>13</v>
      </c>
    </row>
    <row r="15" spans="1:13" ht="22.5" customHeight="1" x14ac:dyDescent="0.25">
      <c r="A15" s="1">
        <v>20</v>
      </c>
      <c r="B15" s="1" t="s">
        <v>14</v>
      </c>
      <c r="C15" s="1" t="s">
        <v>7</v>
      </c>
      <c r="D15" s="1" t="s">
        <v>18</v>
      </c>
      <c r="E15" s="1">
        <f t="shared" si="0"/>
        <v>12000</v>
      </c>
      <c r="F15" s="1" t="s">
        <v>9</v>
      </c>
      <c r="G15" s="3">
        <v>0.43</v>
      </c>
      <c r="H15" s="3">
        <v>0.37</v>
      </c>
      <c r="I15" s="4">
        <v>0.13</v>
      </c>
      <c r="J15" s="1" t="s">
        <v>10</v>
      </c>
      <c r="K15" s="2" t="s">
        <v>29</v>
      </c>
      <c r="L15" s="1" t="s">
        <v>12</v>
      </c>
      <c r="M15" s="1" t="s">
        <v>22</v>
      </c>
    </row>
    <row r="16" spans="1:13" ht="22.5" customHeight="1" x14ac:dyDescent="0.25">
      <c r="A16" s="1">
        <v>20</v>
      </c>
      <c r="B16" s="1" t="s">
        <v>6</v>
      </c>
      <c r="C16" s="1" t="s">
        <v>7</v>
      </c>
      <c r="D16" s="1" t="s">
        <v>7</v>
      </c>
      <c r="E16" s="1">
        <f t="shared" si="0"/>
        <v>1500</v>
      </c>
      <c r="F16" s="1" t="s">
        <v>9</v>
      </c>
      <c r="G16" s="3">
        <v>0.5</v>
      </c>
      <c r="H16" s="3">
        <v>0.1</v>
      </c>
      <c r="I16" s="4">
        <v>0.3</v>
      </c>
      <c r="J16" s="1" t="s">
        <v>15</v>
      </c>
      <c r="K16" s="1" t="s">
        <v>11</v>
      </c>
      <c r="L16" s="1" t="s">
        <v>12</v>
      </c>
      <c r="M16" s="1" t="s">
        <v>13</v>
      </c>
    </row>
    <row r="17" spans="1:13" ht="22.5" customHeight="1" x14ac:dyDescent="0.25">
      <c r="A17" s="1">
        <v>18</v>
      </c>
      <c r="B17" s="1" t="s">
        <v>14</v>
      </c>
      <c r="C17" s="1" t="s">
        <v>7</v>
      </c>
      <c r="D17" s="1" t="s">
        <v>7</v>
      </c>
      <c r="E17" s="1">
        <f t="shared" si="0"/>
        <v>1500</v>
      </c>
      <c r="F17" s="1" t="s">
        <v>9</v>
      </c>
      <c r="G17" s="3">
        <v>0.5</v>
      </c>
      <c r="H17" s="3">
        <v>0.1</v>
      </c>
      <c r="I17" s="4">
        <v>0.25</v>
      </c>
      <c r="J17" s="1" t="s">
        <v>10</v>
      </c>
      <c r="K17" s="2" t="s">
        <v>29</v>
      </c>
      <c r="L17" s="1" t="s">
        <v>25</v>
      </c>
      <c r="M17" s="1" t="s">
        <v>13</v>
      </c>
    </row>
    <row r="18" spans="1:13" ht="22.5" customHeight="1" x14ac:dyDescent="0.25">
      <c r="A18" s="1">
        <v>20</v>
      </c>
      <c r="B18" s="1" t="s">
        <v>6</v>
      </c>
      <c r="C18" s="1" t="s">
        <v>7</v>
      </c>
      <c r="D18" s="1" t="s">
        <v>7</v>
      </c>
      <c r="E18" s="1">
        <f t="shared" si="0"/>
        <v>1500</v>
      </c>
      <c r="F18" s="1" t="s">
        <v>9</v>
      </c>
      <c r="G18" s="3">
        <v>0.5</v>
      </c>
      <c r="H18" s="3">
        <v>0.2</v>
      </c>
      <c r="I18" s="4">
        <v>0.05</v>
      </c>
      <c r="J18" s="1" t="s">
        <v>15</v>
      </c>
      <c r="K18" s="1" t="s">
        <v>11</v>
      </c>
      <c r="L18" s="1" t="s">
        <v>12</v>
      </c>
      <c r="M18" s="1" t="s">
        <v>21</v>
      </c>
    </row>
    <row r="19" spans="1:13" ht="22.5" customHeight="1" x14ac:dyDescent="0.25">
      <c r="A19" s="1">
        <v>20</v>
      </c>
      <c r="B19" s="1" t="s">
        <v>14</v>
      </c>
      <c r="C19" s="1" t="s">
        <v>7</v>
      </c>
      <c r="D19" s="1" t="s">
        <v>7</v>
      </c>
      <c r="E19" s="1">
        <f t="shared" si="0"/>
        <v>1500</v>
      </c>
      <c r="F19" s="1" t="s">
        <v>9</v>
      </c>
      <c r="G19" s="3">
        <v>0.05</v>
      </c>
      <c r="H19" s="3">
        <v>0.05</v>
      </c>
      <c r="I19" s="4">
        <v>0</v>
      </c>
      <c r="J19" s="1" t="s">
        <v>10</v>
      </c>
      <c r="K19" s="2" t="s">
        <v>29</v>
      </c>
      <c r="L19" s="1" t="s">
        <v>16</v>
      </c>
      <c r="M19" s="1" t="s">
        <v>13</v>
      </c>
    </row>
    <row r="20" spans="1:13" ht="22.5" customHeight="1" x14ac:dyDescent="0.25">
      <c r="A20" s="1">
        <v>19</v>
      </c>
      <c r="B20" s="1" t="s">
        <v>6</v>
      </c>
      <c r="C20" s="1" t="s">
        <v>7</v>
      </c>
      <c r="D20" s="1" t="s">
        <v>36</v>
      </c>
      <c r="E20" s="1">
        <f t="shared" si="0"/>
        <v>3500</v>
      </c>
      <c r="F20" s="1" t="s">
        <v>9</v>
      </c>
      <c r="G20" s="3">
        <v>0.6</v>
      </c>
      <c r="H20" s="3">
        <v>0.35</v>
      </c>
      <c r="I20" s="4">
        <v>0.05</v>
      </c>
      <c r="J20" s="1" t="s">
        <v>10</v>
      </c>
      <c r="K20" s="2" t="s">
        <v>29</v>
      </c>
      <c r="L20" s="1" t="s">
        <v>12</v>
      </c>
      <c r="M20" s="1" t="s">
        <v>21</v>
      </c>
    </row>
    <row r="21" spans="1:13" ht="22.5" customHeight="1" x14ac:dyDescent="0.25">
      <c r="A21" s="1">
        <v>17</v>
      </c>
      <c r="B21" s="1" t="s">
        <v>14</v>
      </c>
      <c r="C21" s="1" t="s">
        <v>8</v>
      </c>
      <c r="D21" s="1" t="s">
        <v>36</v>
      </c>
      <c r="E21" s="1">
        <f t="shared" si="0"/>
        <v>3500</v>
      </c>
      <c r="F21" s="1" t="s">
        <v>24</v>
      </c>
      <c r="G21" s="3">
        <v>0.5</v>
      </c>
      <c r="H21" s="3">
        <v>0.75</v>
      </c>
      <c r="I21" s="4">
        <v>0.25</v>
      </c>
      <c r="J21" s="1" t="s">
        <v>15</v>
      </c>
      <c r="K21" s="1" t="s">
        <v>11</v>
      </c>
      <c r="L21" s="1" t="s">
        <v>12</v>
      </c>
      <c r="M21" s="1" t="s">
        <v>21</v>
      </c>
    </row>
    <row r="22" spans="1:13" ht="22.5" customHeight="1" x14ac:dyDescent="0.25">
      <c r="A22" s="1">
        <v>20</v>
      </c>
      <c r="B22" s="1" t="s">
        <v>6</v>
      </c>
      <c r="C22" s="1" t="s">
        <v>7</v>
      </c>
      <c r="D22" s="1" t="s">
        <v>36</v>
      </c>
      <c r="E22" s="1">
        <f t="shared" si="0"/>
        <v>3500</v>
      </c>
      <c r="F22" s="1" t="s">
        <v>9</v>
      </c>
      <c r="G22" s="3">
        <v>0.5</v>
      </c>
      <c r="H22" s="3">
        <v>0.3</v>
      </c>
      <c r="I22" s="4">
        <v>0.2</v>
      </c>
      <c r="J22" s="1" t="s">
        <v>15</v>
      </c>
      <c r="K22" s="1" t="s">
        <v>11</v>
      </c>
      <c r="L22" s="1" t="s">
        <v>16</v>
      </c>
      <c r="M22" s="1" t="s">
        <v>13</v>
      </c>
    </row>
    <row r="23" spans="1:13" ht="22.5" customHeight="1" x14ac:dyDescent="0.25">
      <c r="A23" s="1">
        <v>20</v>
      </c>
      <c r="B23" s="1" t="s">
        <v>14</v>
      </c>
      <c r="C23" s="1" t="s">
        <v>7</v>
      </c>
      <c r="D23" s="1" t="s">
        <v>36</v>
      </c>
      <c r="E23" s="1">
        <f t="shared" si="0"/>
        <v>3500</v>
      </c>
      <c r="F23" s="1" t="s">
        <v>23</v>
      </c>
      <c r="G23" s="3">
        <v>0.15</v>
      </c>
      <c r="H23" s="3">
        <v>0.35</v>
      </c>
      <c r="I23" s="4">
        <v>0.5</v>
      </c>
      <c r="J23" s="1" t="s">
        <v>10</v>
      </c>
      <c r="K23" s="1" t="s">
        <v>29</v>
      </c>
      <c r="L23" s="1" t="s">
        <v>12</v>
      </c>
      <c r="M23" s="1" t="s">
        <v>21</v>
      </c>
    </row>
    <row r="24" spans="1:13" ht="22.5" customHeight="1" x14ac:dyDescent="0.25">
      <c r="A24" s="1">
        <v>20</v>
      </c>
      <c r="B24" s="1" t="s">
        <v>14</v>
      </c>
      <c r="C24" s="1" t="s">
        <v>7</v>
      </c>
      <c r="D24" s="1" t="s">
        <v>7</v>
      </c>
      <c r="E24" s="1">
        <f t="shared" si="0"/>
        <v>1500</v>
      </c>
      <c r="F24" s="1" t="s">
        <v>9</v>
      </c>
      <c r="G24" s="3">
        <v>0.5</v>
      </c>
      <c r="H24" s="3">
        <v>0.4</v>
      </c>
      <c r="I24" s="4">
        <v>0.1</v>
      </c>
      <c r="J24" s="1" t="s">
        <v>15</v>
      </c>
      <c r="K24" s="1" t="s">
        <v>11</v>
      </c>
      <c r="L24" s="1" t="s">
        <v>12</v>
      </c>
      <c r="M24" s="1" t="s">
        <v>13</v>
      </c>
    </row>
    <row r="25" spans="1:13" ht="22.5" customHeight="1" x14ac:dyDescent="0.25">
      <c r="A25" s="1">
        <v>18</v>
      </c>
      <c r="B25" s="1" t="s">
        <v>6</v>
      </c>
      <c r="C25" s="1" t="s">
        <v>7</v>
      </c>
      <c r="D25" s="1" t="s">
        <v>7</v>
      </c>
      <c r="E25" s="1">
        <f t="shared" si="0"/>
        <v>1500</v>
      </c>
      <c r="F25" s="1" t="s">
        <v>23</v>
      </c>
      <c r="G25" s="3">
        <v>0.3</v>
      </c>
      <c r="H25" s="3">
        <v>0.6</v>
      </c>
      <c r="I25" s="4">
        <v>0.1</v>
      </c>
      <c r="J25" s="1" t="s">
        <v>10</v>
      </c>
      <c r="K25" s="1" t="s">
        <v>29</v>
      </c>
      <c r="L25" s="1" t="s">
        <v>26</v>
      </c>
      <c r="M25" s="1" t="s">
        <v>13</v>
      </c>
    </row>
    <row r="26" spans="1:13" ht="22.5" customHeight="1" x14ac:dyDescent="0.25">
      <c r="A26" s="1">
        <v>19</v>
      </c>
      <c r="B26" s="1" t="s">
        <v>14</v>
      </c>
      <c r="C26" s="1" t="s">
        <v>8</v>
      </c>
      <c r="D26" s="1" t="s">
        <v>36</v>
      </c>
      <c r="E26" s="1">
        <f t="shared" si="0"/>
        <v>3500</v>
      </c>
      <c r="F26" s="1" t="s">
        <v>9</v>
      </c>
      <c r="G26" s="3">
        <v>0.6</v>
      </c>
      <c r="H26" s="3">
        <v>0.3</v>
      </c>
      <c r="I26" s="4">
        <v>0.1</v>
      </c>
      <c r="J26" s="1" t="s">
        <v>10</v>
      </c>
      <c r="K26" s="2" t="s">
        <v>29</v>
      </c>
      <c r="L26" s="1" t="s">
        <v>16</v>
      </c>
      <c r="M26" s="1" t="s">
        <v>13</v>
      </c>
    </row>
    <row r="27" spans="1:13" ht="22.5" customHeight="1" x14ac:dyDescent="0.25">
      <c r="A27" s="1">
        <v>19</v>
      </c>
      <c r="B27" s="1" t="s">
        <v>14</v>
      </c>
      <c r="C27" s="1" t="s">
        <v>7</v>
      </c>
      <c r="D27" s="1" t="s">
        <v>7</v>
      </c>
      <c r="E27" s="1">
        <f t="shared" si="0"/>
        <v>1500</v>
      </c>
      <c r="F27" s="1" t="s">
        <v>23</v>
      </c>
      <c r="G27" s="3">
        <v>0.3</v>
      </c>
      <c r="H27" s="3">
        <v>0.4</v>
      </c>
      <c r="I27" s="4">
        <v>0.2</v>
      </c>
      <c r="J27" s="1" t="s">
        <v>15</v>
      </c>
      <c r="K27" s="1" t="s">
        <v>11</v>
      </c>
      <c r="L27" s="1" t="s">
        <v>12</v>
      </c>
      <c r="M27" s="1" t="s">
        <v>21</v>
      </c>
    </row>
    <row r="28" spans="1:13" ht="22.5" customHeight="1" x14ac:dyDescent="0.25">
      <c r="A28" s="1">
        <v>21</v>
      </c>
      <c r="B28" s="1" t="s">
        <v>14</v>
      </c>
      <c r="C28" s="1" t="s">
        <v>7</v>
      </c>
      <c r="D28" s="1" t="s">
        <v>36</v>
      </c>
      <c r="E28" s="1">
        <f t="shared" si="0"/>
        <v>3500</v>
      </c>
      <c r="F28" s="1" t="s">
        <v>27</v>
      </c>
      <c r="G28" s="3">
        <v>0.2</v>
      </c>
      <c r="H28" s="3">
        <v>0.2</v>
      </c>
      <c r="I28" s="4">
        <v>0.4</v>
      </c>
      <c r="J28" s="1" t="s">
        <v>15</v>
      </c>
      <c r="K28" s="1" t="s">
        <v>11</v>
      </c>
      <c r="L28" s="1" t="s">
        <v>12</v>
      </c>
      <c r="M28" s="1" t="s">
        <v>13</v>
      </c>
    </row>
    <row r="29" spans="1:13" ht="22.5" customHeight="1" x14ac:dyDescent="0.25">
      <c r="A29" s="1">
        <v>17</v>
      </c>
      <c r="B29" s="1" t="s">
        <v>6</v>
      </c>
      <c r="C29" s="1" t="s">
        <v>7</v>
      </c>
      <c r="D29" s="1" t="s">
        <v>36</v>
      </c>
      <c r="E29" s="1">
        <f t="shared" si="0"/>
        <v>3500</v>
      </c>
      <c r="F29" s="1" t="s">
        <v>9</v>
      </c>
      <c r="G29" s="3">
        <v>0.6</v>
      </c>
      <c r="H29" s="3">
        <v>0.35</v>
      </c>
      <c r="I29" s="4">
        <v>0.05</v>
      </c>
      <c r="J29" s="1" t="s">
        <v>15</v>
      </c>
      <c r="K29" s="1" t="s">
        <v>11</v>
      </c>
      <c r="L29" s="1" t="s">
        <v>26</v>
      </c>
      <c r="M29" s="1" t="s">
        <v>21</v>
      </c>
    </row>
    <row r="30" spans="1:13" ht="22.5" customHeight="1" x14ac:dyDescent="0.25">
      <c r="A30" s="1">
        <v>23</v>
      </c>
      <c r="B30" s="1" t="s">
        <v>14</v>
      </c>
      <c r="C30" s="1" t="s">
        <v>7</v>
      </c>
      <c r="D30" s="1" t="s">
        <v>7</v>
      </c>
      <c r="E30" s="1">
        <f t="shared" si="0"/>
        <v>1500</v>
      </c>
      <c r="F30" s="1" t="s">
        <v>9</v>
      </c>
      <c r="G30" s="3">
        <v>0.6</v>
      </c>
      <c r="H30" s="3">
        <v>0.1</v>
      </c>
      <c r="I30" s="4">
        <v>0.3</v>
      </c>
      <c r="J30" s="1" t="s">
        <v>10</v>
      </c>
      <c r="K30" s="2" t="s">
        <v>29</v>
      </c>
      <c r="L30" s="1" t="s">
        <v>16</v>
      </c>
      <c r="M30" s="1" t="s">
        <v>13</v>
      </c>
    </row>
    <row r="31" spans="1:13" ht="22.5" customHeight="1" x14ac:dyDescent="0.25">
      <c r="A31" s="1">
        <v>19</v>
      </c>
      <c r="B31" s="1" t="s">
        <v>14</v>
      </c>
      <c r="C31" s="1" t="s">
        <v>7</v>
      </c>
      <c r="D31" s="1" t="s">
        <v>7</v>
      </c>
      <c r="E31" s="1">
        <f t="shared" si="0"/>
        <v>1500</v>
      </c>
      <c r="F31" s="1" t="s">
        <v>9</v>
      </c>
      <c r="G31" s="3">
        <v>1</v>
      </c>
      <c r="H31" s="3">
        <v>0</v>
      </c>
      <c r="I31" s="4">
        <v>0</v>
      </c>
      <c r="J31" s="1" t="s">
        <v>10</v>
      </c>
      <c r="K31" s="2" t="s">
        <v>29</v>
      </c>
      <c r="L31" s="1" t="s">
        <v>16</v>
      </c>
      <c r="M31" s="1" t="s">
        <v>21</v>
      </c>
    </row>
    <row r="32" spans="1:13" ht="22.5" customHeight="1" x14ac:dyDescent="0.25">
      <c r="A32" s="1">
        <v>20</v>
      </c>
      <c r="B32" s="1" t="s">
        <v>6</v>
      </c>
      <c r="C32" s="1" t="s">
        <v>18</v>
      </c>
      <c r="D32" s="1" t="s">
        <v>18</v>
      </c>
      <c r="E32" s="1">
        <f t="shared" si="0"/>
        <v>12000</v>
      </c>
      <c r="F32" s="1" t="s">
        <v>9</v>
      </c>
      <c r="G32" s="3">
        <v>0.7</v>
      </c>
      <c r="H32" s="3">
        <v>0.6</v>
      </c>
      <c r="I32" s="4">
        <v>0.4</v>
      </c>
      <c r="J32" s="1" t="s">
        <v>10</v>
      </c>
      <c r="K32" s="2" t="s">
        <v>29</v>
      </c>
      <c r="L32" s="1" t="s">
        <v>16</v>
      </c>
      <c r="M32" s="1" t="s">
        <v>13</v>
      </c>
    </row>
    <row r="33" spans="1:13" ht="22.5" customHeight="1" x14ac:dyDescent="0.25">
      <c r="A33" s="1">
        <v>19</v>
      </c>
      <c r="B33" s="1" t="s">
        <v>14</v>
      </c>
      <c r="C33" s="1" t="s">
        <v>7</v>
      </c>
      <c r="D33" s="1" t="s">
        <v>18</v>
      </c>
      <c r="E33" s="1">
        <f t="shared" si="0"/>
        <v>12000</v>
      </c>
      <c r="F33" s="1" t="s">
        <v>9</v>
      </c>
      <c r="G33" s="3">
        <v>0.5</v>
      </c>
      <c r="H33" s="3">
        <v>0.3</v>
      </c>
      <c r="I33" s="4">
        <v>0.2</v>
      </c>
      <c r="J33" s="1" t="s">
        <v>15</v>
      </c>
      <c r="K33" s="1" t="s">
        <v>28</v>
      </c>
      <c r="L33" s="1" t="s">
        <v>12</v>
      </c>
      <c r="M33" s="1" t="s">
        <v>13</v>
      </c>
    </row>
    <row r="34" spans="1:13" ht="22.5" customHeight="1" x14ac:dyDescent="0.25">
      <c r="A34" s="1">
        <v>19</v>
      </c>
      <c r="B34" s="1" t="s">
        <v>14</v>
      </c>
      <c r="C34" s="1" t="s">
        <v>7</v>
      </c>
      <c r="D34" s="1" t="s">
        <v>37</v>
      </c>
      <c r="E34" s="1">
        <f t="shared" si="0"/>
        <v>7500</v>
      </c>
      <c r="F34" s="1" t="s">
        <v>9</v>
      </c>
      <c r="G34" s="3">
        <v>0.6</v>
      </c>
      <c r="H34" s="3">
        <v>0.15</v>
      </c>
      <c r="I34" s="4">
        <v>0.15</v>
      </c>
      <c r="J34" s="1" t="s">
        <v>10</v>
      </c>
      <c r="K34" s="2" t="s">
        <v>29</v>
      </c>
      <c r="L34" s="1" t="s">
        <v>16</v>
      </c>
      <c r="M34" s="1" t="s">
        <v>13</v>
      </c>
    </row>
    <row r="35" spans="1:13" ht="22.5" customHeight="1" x14ac:dyDescent="0.25">
      <c r="A35" s="1">
        <v>18</v>
      </c>
      <c r="B35" s="1" t="s">
        <v>14</v>
      </c>
      <c r="C35" s="1" t="s">
        <v>7</v>
      </c>
      <c r="D35" s="1" t="s">
        <v>36</v>
      </c>
      <c r="E35" s="1">
        <f t="shared" si="0"/>
        <v>3500</v>
      </c>
      <c r="F35" s="1" t="s">
        <v>23</v>
      </c>
      <c r="G35" s="3">
        <v>0.2</v>
      </c>
      <c r="H35" s="3">
        <v>0.5</v>
      </c>
      <c r="I35" s="4">
        <v>0.3</v>
      </c>
      <c r="J35" s="1" t="s">
        <v>15</v>
      </c>
      <c r="K35" s="1" t="s">
        <v>11</v>
      </c>
      <c r="L35" s="1" t="s">
        <v>12</v>
      </c>
      <c r="M35" s="1" t="s">
        <v>13</v>
      </c>
    </row>
    <row r="36" spans="1:13" ht="22.5" customHeight="1" x14ac:dyDescent="0.25">
      <c r="A36" s="1">
        <v>19</v>
      </c>
      <c r="B36" s="1" t="s">
        <v>14</v>
      </c>
      <c r="C36" s="1" t="s">
        <v>7</v>
      </c>
      <c r="D36" s="1" t="s">
        <v>36</v>
      </c>
      <c r="E36" s="1">
        <f t="shared" si="0"/>
        <v>3500</v>
      </c>
      <c r="F36" s="1" t="s">
        <v>9</v>
      </c>
      <c r="G36" s="3">
        <v>0.5</v>
      </c>
      <c r="H36" s="3">
        <v>0.2</v>
      </c>
      <c r="I36" s="4">
        <v>0.1</v>
      </c>
      <c r="J36" s="1" t="s">
        <v>10</v>
      </c>
      <c r="K36" s="1" t="s">
        <v>29</v>
      </c>
      <c r="L36" s="1" t="s">
        <v>12</v>
      </c>
      <c r="M36" s="1" t="s">
        <v>13</v>
      </c>
    </row>
    <row r="37" spans="1:13" ht="22.5" customHeight="1" x14ac:dyDescent="0.25">
      <c r="A37" s="1">
        <v>19</v>
      </c>
      <c r="B37" s="1" t="s">
        <v>14</v>
      </c>
      <c r="C37" s="1" t="s">
        <v>7</v>
      </c>
      <c r="D37" s="1" t="s">
        <v>36</v>
      </c>
      <c r="E37" s="1">
        <f t="shared" si="0"/>
        <v>3500</v>
      </c>
      <c r="F37" s="1" t="s">
        <v>9</v>
      </c>
      <c r="G37" s="3">
        <v>0.5</v>
      </c>
      <c r="H37" s="3">
        <v>0.15</v>
      </c>
      <c r="I37" s="4">
        <v>0.1</v>
      </c>
      <c r="J37" s="1" t="s">
        <v>10</v>
      </c>
      <c r="K37" s="2" t="s">
        <v>29</v>
      </c>
      <c r="L37" s="1" t="s">
        <v>26</v>
      </c>
      <c r="M37" s="1" t="s">
        <v>13</v>
      </c>
    </row>
    <row r="38" spans="1:13" ht="22.5" customHeight="1" x14ac:dyDescent="0.25">
      <c r="A38" s="1">
        <v>20</v>
      </c>
      <c r="B38" s="1" t="s">
        <v>14</v>
      </c>
      <c r="C38" s="1" t="s">
        <v>7</v>
      </c>
      <c r="D38" s="1" t="s">
        <v>7</v>
      </c>
      <c r="E38" s="1">
        <f t="shared" si="0"/>
        <v>1500</v>
      </c>
      <c r="F38" s="1" t="s">
        <v>9</v>
      </c>
      <c r="G38" s="3">
        <v>0.45</v>
      </c>
      <c r="H38" s="3">
        <v>0.08</v>
      </c>
      <c r="I38" s="4">
        <v>0.05</v>
      </c>
      <c r="J38" s="1" t="s">
        <v>15</v>
      </c>
      <c r="K38" s="1" t="s">
        <v>11</v>
      </c>
      <c r="L38" s="1" t="s">
        <v>16</v>
      </c>
      <c r="M38" s="1" t="s">
        <v>21</v>
      </c>
    </row>
    <row r="39" spans="1:13" ht="22.5" customHeight="1" x14ac:dyDescent="0.25">
      <c r="A39" s="1">
        <v>19</v>
      </c>
      <c r="B39" s="1" t="s">
        <v>6</v>
      </c>
      <c r="C39" s="1" t="s">
        <v>7</v>
      </c>
      <c r="D39" s="1" t="s">
        <v>36</v>
      </c>
      <c r="E39" s="1">
        <f t="shared" si="0"/>
        <v>3500</v>
      </c>
      <c r="F39" s="1" t="s">
        <v>23</v>
      </c>
      <c r="G39" s="3">
        <v>0.3</v>
      </c>
      <c r="H39" s="3">
        <v>0.4</v>
      </c>
      <c r="I39" s="4">
        <v>0.1</v>
      </c>
      <c r="J39" s="1" t="s">
        <v>15</v>
      </c>
      <c r="K39" s="1" t="s">
        <v>11</v>
      </c>
      <c r="L39" s="1" t="s">
        <v>12</v>
      </c>
      <c r="M39" s="1" t="s">
        <v>13</v>
      </c>
    </row>
    <row r="40" spans="1:13" ht="22.5" customHeight="1" x14ac:dyDescent="0.25">
      <c r="A40" s="1">
        <v>19</v>
      </c>
      <c r="B40" s="1" t="s">
        <v>14</v>
      </c>
      <c r="C40" s="1" t="s">
        <v>18</v>
      </c>
      <c r="D40" s="1" t="s">
        <v>36</v>
      </c>
      <c r="E40" s="1">
        <f t="shared" si="0"/>
        <v>3500</v>
      </c>
      <c r="F40" s="1" t="s">
        <v>24</v>
      </c>
      <c r="G40" s="3">
        <v>0.2</v>
      </c>
      <c r="H40" s="3">
        <v>0.4</v>
      </c>
      <c r="I40" s="4">
        <v>0.4</v>
      </c>
      <c r="J40" s="1" t="s">
        <v>15</v>
      </c>
      <c r="K40" s="1" t="s">
        <v>20</v>
      </c>
      <c r="L40" s="1" t="s">
        <v>16</v>
      </c>
      <c r="M40" s="1" t="s">
        <v>21</v>
      </c>
    </row>
    <row r="41" spans="1:13" ht="22.5" customHeight="1" x14ac:dyDescent="0.25">
      <c r="A41" s="1">
        <v>20</v>
      </c>
      <c r="B41" s="1" t="s">
        <v>14</v>
      </c>
      <c r="C41" s="1" t="s">
        <v>7</v>
      </c>
      <c r="D41" s="1" t="s">
        <v>37</v>
      </c>
      <c r="E41" s="1">
        <f t="shared" si="0"/>
        <v>7500</v>
      </c>
      <c r="F41" s="1" t="s">
        <v>9</v>
      </c>
      <c r="G41" s="3">
        <v>0.5</v>
      </c>
      <c r="H41" s="3">
        <v>0.2</v>
      </c>
      <c r="I41" s="4">
        <v>0.2</v>
      </c>
      <c r="J41" s="1" t="s">
        <v>15</v>
      </c>
      <c r="K41" s="1" t="s">
        <v>11</v>
      </c>
      <c r="L41" s="1" t="s">
        <v>16</v>
      </c>
      <c r="M41" s="1" t="s">
        <v>13</v>
      </c>
    </row>
    <row r="42" spans="1:13" ht="22.5" customHeight="1" x14ac:dyDescent="0.25">
      <c r="A42" s="1">
        <v>22</v>
      </c>
      <c r="B42" s="1" t="s">
        <v>14</v>
      </c>
      <c r="C42" s="1" t="s">
        <v>17</v>
      </c>
      <c r="D42" s="1" t="s">
        <v>36</v>
      </c>
      <c r="E42" s="1">
        <f t="shared" si="0"/>
        <v>3500</v>
      </c>
      <c r="F42" s="1" t="s">
        <v>9</v>
      </c>
      <c r="G42" s="3">
        <v>0.6</v>
      </c>
      <c r="H42" s="3">
        <v>0.2</v>
      </c>
      <c r="I42" s="4">
        <v>0.3</v>
      </c>
      <c r="J42" s="1" t="s">
        <v>10</v>
      </c>
      <c r="K42" s="1" t="s">
        <v>29</v>
      </c>
      <c r="L42" s="1" t="s">
        <v>16</v>
      </c>
      <c r="M42" s="1" t="s">
        <v>13</v>
      </c>
    </row>
    <row r="43" spans="1:13" ht="22.5" customHeight="1" x14ac:dyDescent="0.25">
      <c r="A43" s="1">
        <v>25</v>
      </c>
      <c r="B43" s="1" t="s">
        <v>14</v>
      </c>
      <c r="C43" s="1" t="s">
        <v>7</v>
      </c>
      <c r="D43" s="1" t="s">
        <v>7</v>
      </c>
      <c r="E43" s="1">
        <f t="shared" si="0"/>
        <v>1500</v>
      </c>
      <c r="F43" s="1" t="s">
        <v>9</v>
      </c>
      <c r="G43" s="3">
        <v>0.3</v>
      </c>
      <c r="H43" s="3">
        <v>0.5</v>
      </c>
      <c r="I43" s="4">
        <v>0.2</v>
      </c>
      <c r="J43" s="1" t="s">
        <v>15</v>
      </c>
      <c r="K43" s="1" t="s">
        <v>11</v>
      </c>
      <c r="L43" s="1" t="s">
        <v>12</v>
      </c>
      <c r="M43" s="1" t="s">
        <v>13</v>
      </c>
    </row>
    <row r="44" spans="1:13" ht="22.5" customHeight="1" x14ac:dyDescent="0.25">
      <c r="A44" s="1">
        <v>21</v>
      </c>
      <c r="B44" s="1" t="s">
        <v>6</v>
      </c>
      <c r="C44" s="1" t="s">
        <v>7</v>
      </c>
      <c r="D44" s="1" t="s">
        <v>36</v>
      </c>
      <c r="E44" s="1">
        <f t="shared" si="0"/>
        <v>3500</v>
      </c>
      <c r="F44" s="1" t="s">
        <v>9</v>
      </c>
      <c r="G44" s="3">
        <v>0.5</v>
      </c>
      <c r="H44" s="3">
        <v>0.4</v>
      </c>
      <c r="I44" s="4">
        <v>0.1</v>
      </c>
      <c r="J44" s="1" t="s">
        <v>15</v>
      </c>
      <c r="K44" s="1" t="s">
        <v>11</v>
      </c>
      <c r="L44" s="1" t="s">
        <v>12</v>
      </c>
      <c r="M44" s="1" t="s">
        <v>13</v>
      </c>
    </row>
    <row r="45" spans="1:13" ht="22.5" customHeight="1" x14ac:dyDescent="0.25">
      <c r="A45" s="1">
        <v>18</v>
      </c>
      <c r="B45" s="1" t="s">
        <v>14</v>
      </c>
      <c r="C45" s="1" t="s">
        <v>18</v>
      </c>
      <c r="D45" s="1" t="s">
        <v>18</v>
      </c>
      <c r="E45" s="1">
        <f t="shared" si="0"/>
        <v>12000</v>
      </c>
      <c r="F45" s="1" t="s">
        <v>19</v>
      </c>
      <c r="G45" s="3">
        <v>0.7</v>
      </c>
      <c r="H45" s="3">
        <v>0.2</v>
      </c>
      <c r="I45" s="4">
        <v>0.1</v>
      </c>
      <c r="J45" s="1" t="s">
        <v>15</v>
      </c>
      <c r="K45" s="1" t="s">
        <v>28</v>
      </c>
      <c r="L45" s="1" t="s">
        <v>26</v>
      </c>
      <c r="M45" s="1" t="s">
        <v>21</v>
      </c>
    </row>
    <row r="46" spans="1:13" ht="22.5" customHeight="1" x14ac:dyDescent="0.25">
      <c r="A46" s="1">
        <v>18</v>
      </c>
      <c r="B46" s="1" t="s">
        <v>14</v>
      </c>
      <c r="C46" s="1" t="s">
        <v>7</v>
      </c>
      <c r="D46" s="1" t="s">
        <v>36</v>
      </c>
      <c r="E46" s="1">
        <f t="shared" si="0"/>
        <v>3500</v>
      </c>
      <c r="F46" s="1" t="s">
        <v>9</v>
      </c>
      <c r="G46" s="3">
        <v>0.9</v>
      </c>
      <c r="H46" s="3">
        <v>0.05</v>
      </c>
      <c r="I46" s="4">
        <v>0.05</v>
      </c>
      <c r="J46" s="1" t="s">
        <v>10</v>
      </c>
      <c r="K46" s="2" t="s">
        <v>29</v>
      </c>
      <c r="L46" s="1" t="s">
        <v>12</v>
      </c>
      <c r="M46" s="1" t="s">
        <v>13</v>
      </c>
    </row>
    <row r="47" spans="1:13" ht="22.5" customHeight="1" x14ac:dyDescent="0.25">
      <c r="A47" s="1">
        <v>23</v>
      </c>
      <c r="B47" s="1" t="s">
        <v>14</v>
      </c>
      <c r="C47" s="1" t="s">
        <v>18</v>
      </c>
      <c r="D47" s="1" t="s">
        <v>18</v>
      </c>
      <c r="E47" s="1">
        <f t="shared" si="0"/>
        <v>12000</v>
      </c>
      <c r="F47" s="1" t="s">
        <v>27</v>
      </c>
      <c r="G47" s="3">
        <v>0.3</v>
      </c>
      <c r="H47" s="3">
        <v>0.3</v>
      </c>
      <c r="I47" s="3">
        <v>0.4</v>
      </c>
      <c r="J47" s="1" t="s">
        <v>10</v>
      </c>
      <c r="K47" s="2" t="s">
        <v>29</v>
      </c>
      <c r="L47" s="1" t="s">
        <v>12</v>
      </c>
      <c r="M47" s="1" t="s">
        <v>13</v>
      </c>
    </row>
    <row r="48" spans="1:13" ht="22.2" customHeight="1" x14ac:dyDescent="0.25">
      <c r="A48" s="1">
        <v>19</v>
      </c>
      <c r="B48" s="1" t="s">
        <v>6</v>
      </c>
      <c r="C48" s="1" t="s">
        <v>7</v>
      </c>
      <c r="D48" s="1" t="s">
        <v>18</v>
      </c>
      <c r="E48" s="1">
        <f t="shared" si="0"/>
        <v>12000</v>
      </c>
      <c r="F48" s="1" t="s">
        <v>23</v>
      </c>
      <c r="G48" s="3">
        <v>0.25</v>
      </c>
      <c r="H48" s="3">
        <v>0.5</v>
      </c>
      <c r="I48" s="3">
        <v>0.35</v>
      </c>
      <c r="J48" s="1" t="s">
        <v>15</v>
      </c>
      <c r="K48" s="1" t="s">
        <v>20</v>
      </c>
      <c r="L48" s="1" t="s">
        <v>26</v>
      </c>
      <c r="M48" s="1" t="s">
        <v>21</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CF4F-B52B-44E5-A6EE-1BB2BE154D57}">
  <dimension ref="A4:E7"/>
  <sheetViews>
    <sheetView workbookViewId="0">
      <selection activeCell="D30" sqref="D30"/>
    </sheetView>
  </sheetViews>
  <sheetFormatPr defaultRowHeight="13.2" x14ac:dyDescent="0.25"/>
  <cols>
    <col min="1" max="1" width="26" bestFit="1" customWidth="1"/>
    <col min="2" max="2" width="15.109375" bestFit="1" customWidth="1"/>
    <col min="3" max="3" width="11.5546875" bestFit="1" customWidth="1"/>
    <col min="4" max="4" width="14.44140625" bestFit="1" customWidth="1"/>
    <col min="5" max="5" width="8.109375" bestFit="1" customWidth="1"/>
    <col min="6" max="6" width="10.33203125" bestFit="1" customWidth="1"/>
  </cols>
  <sheetData>
    <row r="4" spans="1:5" x14ac:dyDescent="0.25">
      <c r="A4" s="7" t="s">
        <v>35</v>
      </c>
      <c r="B4" s="7" t="s">
        <v>39</v>
      </c>
      <c r="C4" s="6"/>
      <c r="D4" s="6"/>
      <c r="E4" s="12"/>
    </row>
    <row r="5" spans="1:5" x14ac:dyDescent="0.25">
      <c r="A5" s="7" t="s">
        <v>31</v>
      </c>
      <c r="B5" s="5" t="s">
        <v>28</v>
      </c>
      <c r="C5" s="13" t="s">
        <v>20</v>
      </c>
      <c r="D5" s="13" t="s">
        <v>11</v>
      </c>
      <c r="E5" s="20" t="s">
        <v>29</v>
      </c>
    </row>
    <row r="6" spans="1:5" x14ac:dyDescent="0.25">
      <c r="A6" s="9" t="s">
        <v>10</v>
      </c>
      <c r="B6" s="5"/>
      <c r="C6" s="13"/>
      <c r="D6" s="13"/>
      <c r="E6" s="20">
        <v>19</v>
      </c>
    </row>
    <row r="7" spans="1:5" x14ac:dyDescent="0.25">
      <c r="A7" s="14" t="s">
        <v>15</v>
      </c>
      <c r="B7" s="23">
        <v>2</v>
      </c>
      <c r="C7" s="24">
        <v>4</v>
      </c>
      <c r="D7" s="24">
        <v>22</v>
      </c>
      <c r="E7" s="2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2D59-0721-4AAF-A72C-C809DEDA5B52}">
  <dimension ref="A5:B10"/>
  <sheetViews>
    <sheetView workbookViewId="0">
      <selection activeCell="B13" sqref="B13"/>
    </sheetView>
  </sheetViews>
  <sheetFormatPr defaultRowHeight="13.2" x14ac:dyDescent="0.25"/>
  <cols>
    <col min="1" max="1" width="12.44140625" bestFit="1" customWidth="1"/>
    <col min="2" max="2" width="40.6640625" bestFit="1" customWidth="1"/>
  </cols>
  <sheetData>
    <row r="5" spans="1:2" x14ac:dyDescent="0.25">
      <c r="A5" s="31" t="s">
        <v>31</v>
      </c>
      <c r="B5" s="32" t="s">
        <v>33</v>
      </c>
    </row>
    <row r="6" spans="1:2" x14ac:dyDescent="0.25">
      <c r="A6" s="36" t="s">
        <v>19</v>
      </c>
      <c r="B6" s="37">
        <v>2</v>
      </c>
    </row>
    <row r="7" spans="1:2" x14ac:dyDescent="0.25">
      <c r="A7" s="38" t="s">
        <v>9</v>
      </c>
      <c r="B7" s="39">
        <v>32</v>
      </c>
    </row>
    <row r="8" spans="1:2" x14ac:dyDescent="0.25">
      <c r="A8" s="38" t="s">
        <v>23</v>
      </c>
      <c r="B8" s="39">
        <v>8</v>
      </c>
    </row>
    <row r="9" spans="1:2" x14ac:dyDescent="0.25">
      <c r="A9" s="38" t="s">
        <v>24</v>
      </c>
      <c r="B9" s="39">
        <v>3</v>
      </c>
    </row>
    <row r="10" spans="1:2" x14ac:dyDescent="0.25">
      <c r="A10" s="40" t="s">
        <v>27</v>
      </c>
      <c r="B10" s="41">
        <v>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B3FE8-A248-4EF1-BE97-78B1F01D1F30}">
  <dimension ref="A3:B8"/>
  <sheetViews>
    <sheetView workbookViewId="0">
      <selection activeCell="B8" sqref="A3:B8"/>
    </sheetView>
  </sheetViews>
  <sheetFormatPr defaultRowHeight="13.2" x14ac:dyDescent="0.25"/>
  <cols>
    <col min="1" max="1" width="14.44140625" bestFit="1" customWidth="1"/>
    <col min="2" max="2" width="40.44140625" bestFit="1" customWidth="1"/>
    <col min="3" max="3" width="37.33203125" bestFit="1" customWidth="1"/>
  </cols>
  <sheetData>
    <row r="3" spans="1:2" x14ac:dyDescent="0.25">
      <c r="A3" s="7" t="s">
        <v>31</v>
      </c>
      <c r="B3" s="8" t="s">
        <v>38</v>
      </c>
    </row>
    <row r="4" spans="1:2" x14ac:dyDescent="0.25">
      <c r="A4" s="9" t="s">
        <v>8</v>
      </c>
      <c r="B4" s="8">
        <v>3100</v>
      </c>
    </row>
    <row r="5" spans="1:2" x14ac:dyDescent="0.25">
      <c r="A5" s="10" t="s">
        <v>17</v>
      </c>
      <c r="B5" s="18">
        <v>3500</v>
      </c>
    </row>
    <row r="6" spans="1:2" x14ac:dyDescent="0.25">
      <c r="A6" s="10" t="s">
        <v>18</v>
      </c>
      <c r="B6" s="18">
        <v>9833.3333333333339</v>
      </c>
    </row>
    <row r="7" spans="1:2" x14ac:dyDescent="0.25">
      <c r="A7" s="10" t="s">
        <v>7</v>
      </c>
      <c r="B7" s="18">
        <v>4371.4285714285716</v>
      </c>
    </row>
    <row r="8" spans="1:2" x14ac:dyDescent="0.25">
      <c r="A8" s="11" t="s">
        <v>32</v>
      </c>
      <c r="B8" s="17">
        <v>4914.8936170212764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6AC5-9790-40C3-9521-EA14F703CF51}">
  <dimension ref="A3:G7"/>
  <sheetViews>
    <sheetView workbookViewId="0">
      <selection activeCell="B5" sqref="B5"/>
    </sheetView>
  </sheetViews>
  <sheetFormatPr defaultRowHeight="13.2" x14ac:dyDescent="0.25"/>
  <cols>
    <col min="1" max="1" width="40.6640625" bestFit="1" customWidth="1"/>
    <col min="2" max="2" width="15.109375" bestFit="1" customWidth="1"/>
    <col min="3" max="3" width="5.109375" bestFit="1" customWidth="1"/>
    <col min="4" max="4" width="6.33203125" bestFit="1" customWidth="1"/>
    <col min="5" max="5" width="8.6640625" bestFit="1" customWidth="1"/>
    <col min="6" max="6" width="5.77734375" bestFit="1" customWidth="1"/>
    <col min="7" max="8" width="10.33203125" bestFit="1" customWidth="1"/>
    <col min="9" max="9" width="37.33203125" bestFit="1" customWidth="1"/>
    <col min="10" max="10" width="35" bestFit="1" customWidth="1"/>
    <col min="11" max="11" width="37.33203125" bestFit="1" customWidth="1"/>
    <col min="12" max="12" width="35" bestFit="1" customWidth="1"/>
    <col min="13" max="13" width="37.33203125" bestFit="1" customWidth="1"/>
    <col min="14" max="14" width="35" bestFit="1" customWidth="1"/>
    <col min="15" max="15" width="37.33203125" bestFit="1" customWidth="1"/>
    <col min="16" max="16" width="35" bestFit="1" customWidth="1"/>
    <col min="17" max="17" width="37.33203125" bestFit="1" customWidth="1"/>
    <col min="18" max="18" width="35" bestFit="1" customWidth="1"/>
    <col min="19" max="19" width="37.33203125" bestFit="1" customWidth="1"/>
    <col min="20" max="20" width="35" bestFit="1" customWidth="1"/>
    <col min="21" max="21" width="37.33203125" bestFit="1" customWidth="1"/>
    <col min="22" max="22" width="35" bestFit="1" customWidth="1"/>
    <col min="23" max="23" width="37.33203125" bestFit="1" customWidth="1"/>
    <col min="24" max="24" width="35" bestFit="1" customWidth="1"/>
    <col min="25" max="25" width="37.33203125" bestFit="1" customWidth="1"/>
    <col min="26" max="26" width="35" bestFit="1" customWidth="1"/>
    <col min="27" max="27" width="37.33203125" bestFit="1" customWidth="1"/>
    <col min="28" max="28" width="35" bestFit="1" customWidth="1"/>
    <col min="29" max="29" width="37.33203125" bestFit="1" customWidth="1"/>
    <col min="30" max="30" width="35" bestFit="1" customWidth="1"/>
    <col min="31" max="31" width="37.33203125" bestFit="1" customWidth="1"/>
    <col min="32" max="32" width="35" bestFit="1" customWidth="1"/>
    <col min="33" max="33" width="37.33203125" bestFit="1" customWidth="1"/>
    <col min="34" max="34" width="39.44140625" bestFit="1" customWidth="1"/>
    <col min="35" max="35" width="41.88671875" bestFit="1" customWidth="1"/>
    <col min="36" max="36" width="4" bestFit="1" customWidth="1"/>
    <col min="37" max="37" width="7.88671875" bestFit="1" customWidth="1"/>
    <col min="38" max="38" width="6.88671875" bestFit="1" customWidth="1"/>
    <col min="39" max="39" width="8.88671875" bestFit="1" customWidth="1"/>
    <col min="40" max="40" width="6.88671875" bestFit="1" customWidth="1"/>
    <col min="41" max="41" width="8.88671875" bestFit="1" customWidth="1"/>
    <col min="42" max="42" width="5.88671875" bestFit="1" customWidth="1"/>
    <col min="43" max="45" width="4" bestFit="1" customWidth="1"/>
    <col min="46" max="46" width="7.88671875" bestFit="1" customWidth="1"/>
    <col min="47" max="47" width="5.88671875" bestFit="1" customWidth="1"/>
    <col min="48" max="48" width="5" bestFit="1" customWidth="1"/>
    <col min="49" max="49" width="7.88671875" bestFit="1" customWidth="1"/>
    <col min="50" max="50" width="8.44140625" bestFit="1" customWidth="1"/>
    <col min="51" max="51" width="10.88671875" bestFit="1" customWidth="1"/>
    <col min="52" max="52" width="10.33203125" bestFit="1" customWidth="1"/>
    <col min="53" max="53" width="8.88671875" bestFit="1" customWidth="1"/>
    <col min="54" max="54" width="5.88671875" bestFit="1" customWidth="1"/>
    <col min="55" max="56" width="7.88671875" bestFit="1" customWidth="1"/>
    <col min="57" max="57" width="6.88671875" bestFit="1" customWidth="1"/>
    <col min="58" max="58" width="6.33203125" bestFit="1" customWidth="1"/>
    <col min="59" max="59" width="8.88671875" bestFit="1" customWidth="1"/>
    <col min="60" max="60" width="6.88671875" bestFit="1" customWidth="1"/>
    <col min="61" max="61" width="4" bestFit="1" customWidth="1"/>
    <col min="62" max="62" width="5" bestFit="1" customWidth="1"/>
    <col min="63" max="63" width="8.88671875" bestFit="1" customWidth="1"/>
    <col min="64" max="64" width="5.88671875" bestFit="1" customWidth="1"/>
    <col min="65" max="65" width="7.88671875" bestFit="1" customWidth="1"/>
    <col min="66" max="66" width="6.88671875" bestFit="1" customWidth="1"/>
    <col min="67" max="67" width="8.88671875" bestFit="1" customWidth="1"/>
    <col min="68" max="68" width="5.88671875" bestFit="1" customWidth="1"/>
    <col min="69" max="69" width="7.88671875" bestFit="1" customWidth="1"/>
    <col min="70" max="70" width="5.88671875" bestFit="1" customWidth="1"/>
    <col min="71" max="71" width="4" bestFit="1" customWidth="1"/>
    <col min="72" max="73" width="7.88671875" bestFit="1" customWidth="1"/>
    <col min="74" max="74" width="5.88671875" bestFit="1" customWidth="1"/>
    <col min="75" max="75" width="7.88671875" bestFit="1" customWidth="1"/>
    <col min="76" max="76" width="5.88671875" bestFit="1" customWidth="1"/>
    <col min="77" max="78" width="7.88671875" bestFit="1" customWidth="1"/>
    <col min="79" max="79" width="6.88671875" bestFit="1" customWidth="1"/>
    <col min="80" max="80" width="7.88671875" bestFit="1" customWidth="1"/>
    <col min="81" max="81" width="8.88671875" bestFit="1" customWidth="1"/>
    <col min="82" max="82" width="5.88671875" bestFit="1" customWidth="1"/>
    <col min="83" max="84" width="7.88671875" bestFit="1" customWidth="1"/>
    <col min="85" max="85" width="6.88671875" bestFit="1" customWidth="1"/>
    <col min="86" max="86" width="8.88671875" bestFit="1" customWidth="1"/>
    <col min="87" max="87" width="7.88671875" bestFit="1" customWidth="1"/>
    <col min="88" max="88" width="3.88671875" bestFit="1" customWidth="1"/>
    <col min="89" max="90" width="6.33203125" bestFit="1" customWidth="1"/>
    <col min="91" max="91" width="8.44140625" bestFit="1" customWidth="1"/>
    <col min="92" max="93" width="10.88671875" bestFit="1" customWidth="1"/>
    <col min="94" max="94" width="10.33203125" bestFit="1" customWidth="1"/>
    <col min="95" max="95" width="6.33203125" bestFit="1" customWidth="1"/>
    <col min="96" max="96" width="8.88671875" bestFit="1" customWidth="1"/>
    <col min="97" max="97" width="6.88671875" bestFit="1" customWidth="1"/>
    <col min="98" max="98" width="8.88671875" bestFit="1" customWidth="1"/>
    <col min="99" max="99" width="7.88671875" bestFit="1" customWidth="1"/>
    <col min="100" max="100" width="6.88671875" bestFit="1" customWidth="1"/>
    <col min="101" max="101" width="7.88671875" bestFit="1" customWidth="1"/>
    <col min="102" max="102" width="8.88671875" bestFit="1" customWidth="1"/>
    <col min="103" max="103" width="5.88671875" bestFit="1" customWidth="1"/>
    <col min="104" max="104" width="7.88671875" bestFit="1" customWidth="1"/>
    <col min="105" max="105" width="5.88671875" bestFit="1" customWidth="1"/>
    <col min="106" max="106" width="7.88671875" bestFit="1" customWidth="1"/>
    <col min="107" max="107" width="6.88671875" bestFit="1" customWidth="1"/>
    <col min="108" max="108" width="8.88671875" bestFit="1" customWidth="1"/>
    <col min="109" max="109" width="5.88671875" bestFit="1" customWidth="1"/>
    <col min="110" max="110" width="4" bestFit="1" customWidth="1"/>
    <col min="111" max="111" width="7.88671875" bestFit="1" customWidth="1"/>
    <col min="112" max="112" width="5.88671875" bestFit="1" customWidth="1"/>
    <col min="113" max="114" width="7.88671875" bestFit="1" customWidth="1"/>
    <col min="115" max="115" width="6.88671875" bestFit="1" customWidth="1"/>
    <col min="116" max="116" width="8.88671875" bestFit="1" customWidth="1"/>
    <col min="118" max="118" width="5.88671875" bestFit="1" customWidth="1"/>
    <col min="119" max="119" width="4" bestFit="1" customWidth="1"/>
    <col min="120" max="120" width="7.88671875" bestFit="1" customWidth="1"/>
    <col min="121" max="121" width="5.88671875" bestFit="1" customWidth="1"/>
    <col min="122" max="122" width="4" bestFit="1" customWidth="1"/>
    <col min="123" max="123" width="7.88671875" bestFit="1" customWidth="1"/>
    <col min="124" max="124" width="5.88671875" bestFit="1" customWidth="1"/>
    <col min="125" max="126" width="7.88671875" bestFit="1" customWidth="1"/>
    <col min="127" max="127" width="6.88671875" bestFit="1" customWidth="1"/>
    <col min="128" max="129" width="8.88671875" bestFit="1" customWidth="1"/>
    <col min="130" max="130" width="6.88671875" bestFit="1" customWidth="1"/>
    <col min="131" max="132" width="8.88671875" bestFit="1" customWidth="1"/>
    <col min="133" max="133" width="6.88671875" bestFit="1" customWidth="1"/>
    <col min="134" max="134" width="8.88671875" bestFit="1" customWidth="1"/>
    <col min="135" max="135" width="5.88671875" bestFit="1" customWidth="1"/>
    <col min="136" max="137" width="4" bestFit="1" customWidth="1"/>
    <col min="138" max="138" width="7.88671875" bestFit="1" customWidth="1"/>
    <col min="139" max="139" width="5.88671875" bestFit="1" customWidth="1"/>
    <col min="140" max="141" width="4" bestFit="1" customWidth="1"/>
    <col min="142" max="142" width="7.88671875" bestFit="1" customWidth="1"/>
    <col min="143" max="143" width="6.88671875" bestFit="1" customWidth="1"/>
    <col min="144" max="144" width="5" bestFit="1" customWidth="1"/>
    <col min="145" max="145" width="8.88671875" bestFit="1" customWidth="1"/>
    <col min="146" max="146" width="5.88671875" bestFit="1" customWidth="1"/>
    <col min="147" max="148" width="7.88671875" bestFit="1" customWidth="1"/>
    <col min="149" max="149" width="6.88671875" bestFit="1" customWidth="1"/>
    <col min="150" max="150" width="6.33203125" bestFit="1" customWidth="1"/>
    <col min="151" max="151" width="8.88671875" bestFit="1" customWidth="1"/>
    <col min="152" max="152" width="6.88671875" bestFit="1" customWidth="1"/>
    <col min="153" max="153" width="4" bestFit="1" customWidth="1"/>
    <col min="154" max="154" width="5" bestFit="1" customWidth="1"/>
    <col min="155" max="155" width="8.88671875" bestFit="1" customWidth="1"/>
    <col min="156" max="156" width="5.88671875" bestFit="1" customWidth="1"/>
    <col min="157" max="157" width="7.88671875" bestFit="1" customWidth="1"/>
    <col min="158" max="158" width="6.88671875" bestFit="1" customWidth="1"/>
    <col min="160" max="160" width="5.88671875" bestFit="1" customWidth="1"/>
    <col min="161" max="161" width="7.88671875" bestFit="1" customWidth="1"/>
    <col min="162" max="162" width="5.88671875" bestFit="1" customWidth="1"/>
    <col min="163" max="163" width="4" bestFit="1" customWidth="1"/>
    <col min="164" max="165" width="7.88671875" bestFit="1" customWidth="1"/>
    <col min="166" max="166" width="5.88671875" bestFit="1" customWidth="1"/>
    <col min="167" max="167" width="7.88671875" bestFit="1" customWidth="1"/>
    <col min="168" max="168" width="5.88671875" bestFit="1" customWidth="1"/>
    <col min="169" max="170" width="7.88671875" bestFit="1" customWidth="1"/>
    <col min="171" max="171" width="6.88671875" bestFit="1" customWidth="1"/>
    <col min="172" max="172" width="7.88671875" bestFit="1" customWidth="1"/>
    <col min="174" max="174" width="5.88671875" bestFit="1" customWidth="1"/>
    <col min="175" max="176" width="7.88671875" bestFit="1" customWidth="1"/>
    <col min="177" max="177" width="6.88671875" bestFit="1" customWidth="1"/>
    <col min="179" max="179" width="7.88671875" bestFit="1" customWidth="1"/>
    <col min="180" max="180" width="3.88671875" bestFit="1" customWidth="1"/>
    <col min="181" max="182" width="6.33203125" bestFit="1" customWidth="1"/>
    <col min="183" max="183" width="8.44140625" bestFit="1" customWidth="1"/>
    <col min="184" max="185" width="10.88671875" bestFit="1" customWidth="1"/>
    <col min="186" max="186" width="40.5546875" bestFit="1" customWidth="1"/>
    <col min="187" max="187" width="43" bestFit="1" customWidth="1"/>
    <col min="189" max="189" width="6.88671875" bestFit="1" customWidth="1"/>
    <col min="191" max="191" width="7.88671875" bestFit="1" customWidth="1"/>
    <col min="192" max="192" width="6.88671875" bestFit="1" customWidth="1"/>
    <col min="193" max="193" width="7.88671875" bestFit="1" customWidth="1"/>
    <col min="195" max="195" width="5.88671875" bestFit="1" customWidth="1"/>
    <col min="196" max="196" width="7.88671875" bestFit="1" customWidth="1"/>
    <col min="197" max="197" width="5.88671875" bestFit="1" customWidth="1"/>
    <col min="198" max="198" width="7.88671875" bestFit="1" customWidth="1"/>
    <col min="199" max="199" width="6.88671875" bestFit="1" customWidth="1"/>
    <col min="201" max="201" width="5.88671875" bestFit="1" customWidth="1"/>
    <col min="202" max="202" width="4" bestFit="1" customWidth="1"/>
    <col min="203" max="203" width="7.88671875" bestFit="1" customWidth="1"/>
    <col min="204" max="204" width="5.88671875" bestFit="1" customWidth="1"/>
    <col min="205" max="206" width="7.88671875" bestFit="1" customWidth="1"/>
    <col min="207" max="207" width="6.88671875" bestFit="1" customWidth="1"/>
    <col min="210" max="210" width="5.88671875" bestFit="1" customWidth="1"/>
    <col min="211" max="211" width="4" bestFit="1" customWidth="1"/>
    <col min="212" max="212" width="7.88671875" bestFit="1" customWidth="1"/>
    <col min="213" max="213" width="5.88671875" bestFit="1" customWidth="1"/>
    <col min="214" max="214" width="4" bestFit="1" customWidth="1"/>
    <col min="215" max="215" width="7.88671875" bestFit="1" customWidth="1"/>
    <col min="216" max="216" width="5.88671875" bestFit="1" customWidth="1"/>
    <col min="217" max="218" width="7.88671875" bestFit="1" customWidth="1"/>
    <col min="219" max="219" width="6.88671875" bestFit="1" customWidth="1"/>
    <col min="222" max="222" width="6.88671875" bestFit="1" customWidth="1"/>
    <col min="225" max="225" width="6.88671875" bestFit="1" customWidth="1"/>
    <col min="227" max="227" width="5.88671875" bestFit="1" customWidth="1"/>
    <col min="228" max="229" width="4" bestFit="1" customWidth="1"/>
    <col min="230" max="230" width="7.88671875" bestFit="1" customWidth="1"/>
    <col min="231" max="231" width="5.88671875" bestFit="1" customWidth="1"/>
    <col min="232" max="233" width="4" bestFit="1" customWidth="1"/>
    <col min="234" max="234" width="7.88671875" bestFit="1" customWidth="1"/>
    <col min="235" max="235" width="6.88671875" bestFit="1" customWidth="1"/>
    <col min="236" max="236" width="5" bestFit="1" customWidth="1"/>
    <col min="238" max="238" width="5.88671875" bestFit="1" customWidth="1"/>
    <col min="239" max="240" width="7.88671875" bestFit="1" customWidth="1"/>
    <col min="241" max="241" width="6.88671875" bestFit="1" customWidth="1"/>
    <col min="242" max="242" width="6.33203125" bestFit="1" customWidth="1"/>
    <col min="244" max="244" width="6.88671875" bestFit="1" customWidth="1"/>
    <col min="245" max="245" width="4" bestFit="1" customWidth="1"/>
    <col min="246" max="246" width="5" bestFit="1" customWidth="1"/>
    <col min="248" max="248" width="5.88671875" bestFit="1" customWidth="1"/>
    <col min="249" max="249" width="7.88671875" bestFit="1" customWidth="1"/>
    <col min="250" max="250" width="6.88671875" bestFit="1" customWidth="1"/>
    <col min="252" max="252" width="5.88671875" bestFit="1" customWidth="1"/>
    <col min="253" max="253" width="7.88671875" bestFit="1" customWidth="1"/>
    <col min="254" max="254" width="5.88671875" bestFit="1" customWidth="1"/>
    <col min="255" max="255" width="4" bestFit="1" customWidth="1"/>
    <col min="256" max="257" width="7.88671875" bestFit="1" customWidth="1"/>
    <col min="258" max="258" width="5.88671875" bestFit="1" customWidth="1"/>
    <col min="259" max="259" width="7.88671875" bestFit="1" customWidth="1"/>
    <col min="260" max="260" width="5.88671875" bestFit="1" customWidth="1"/>
    <col min="261" max="262" width="7.88671875" bestFit="1" customWidth="1"/>
    <col min="263" max="263" width="6.88671875" bestFit="1" customWidth="1"/>
    <col min="264" max="264" width="7.88671875" bestFit="1" customWidth="1"/>
    <col min="266" max="266" width="5.88671875" bestFit="1" customWidth="1"/>
    <col min="267" max="268" width="7.88671875" bestFit="1" customWidth="1"/>
    <col min="269" max="269" width="6.88671875" bestFit="1" customWidth="1"/>
    <col min="271" max="271" width="7.88671875" bestFit="1" customWidth="1"/>
    <col min="272" max="272" width="3.88671875" bestFit="1" customWidth="1"/>
    <col min="273" max="274" width="6.33203125" bestFit="1" customWidth="1"/>
    <col min="275" max="275" width="8.44140625" bestFit="1" customWidth="1"/>
    <col min="276" max="277" width="10.88671875" bestFit="1" customWidth="1"/>
    <col min="278" max="278" width="46" bestFit="1" customWidth="1"/>
    <col min="279" max="279" width="40.5546875" bestFit="1" customWidth="1"/>
    <col min="280" max="280" width="43" bestFit="1" customWidth="1"/>
  </cols>
  <sheetData>
    <row r="3" spans="1:7" x14ac:dyDescent="0.25">
      <c r="A3" s="7" t="s">
        <v>33</v>
      </c>
      <c r="B3" s="7" t="s">
        <v>39</v>
      </c>
      <c r="C3" s="6"/>
      <c r="D3" s="6"/>
      <c r="E3" s="6"/>
      <c r="F3" s="6"/>
      <c r="G3" s="12"/>
    </row>
    <row r="4" spans="1:7" x14ac:dyDescent="0.25">
      <c r="A4" s="7" t="s">
        <v>31</v>
      </c>
      <c r="B4" s="5" t="s">
        <v>19</v>
      </c>
      <c r="C4" s="13" t="s">
        <v>9</v>
      </c>
      <c r="D4" s="13" t="s">
        <v>23</v>
      </c>
      <c r="E4" s="13" t="s">
        <v>24</v>
      </c>
      <c r="F4" s="13" t="s">
        <v>27</v>
      </c>
      <c r="G4" s="8" t="s">
        <v>32</v>
      </c>
    </row>
    <row r="5" spans="1:7" x14ac:dyDescent="0.25">
      <c r="A5" s="9" t="s">
        <v>6</v>
      </c>
      <c r="B5" s="5">
        <v>1</v>
      </c>
      <c r="C5" s="13">
        <v>9</v>
      </c>
      <c r="D5" s="13">
        <v>5</v>
      </c>
      <c r="E5" s="13"/>
      <c r="F5" s="13"/>
      <c r="G5" s="8">
        <v>15</v>
      </c>
    </row>
    <row r="6" spans="1:7" x14ac:dyDescent="0.25">
      <c r="A6" s="10" t="s">
        <v>14</v>
      </c>
      <c r="B6" s="26">
        <v>1</v>
      </c>
      <c r="C6" s="27">
        <v>23</v>
      </c>
      <c r="D6" s="27">
        <v>3</v>
      </c>
      <c r="E6" s="27">
        <v>3</v>
      </c>
      <c r="F6" s="27">
        <v>2</v>
      </c>
      <c r="G6" s="18">
        <v>32</v>
      </c>
    </row>
    <row r="7" spans="1:7" x14ac:dyDescent="0.25">
      <c r="A7" s="11" t="s">
        <v>32</v>
      </c>
      <c r="B7" s="21">
        <v>2</v>
      </c>
      <c r="C7" s="22">
        <v>32</v>
      </c>
      <c r="D7" s="22">
        <v>8</v>
      </c>
      <c r="E7" s="22">
        <v>3</v>
      </c>
      <c r="F7" s="22">
        <v>2</v>
      </c>
      <c r="G7" s="17">
        <v>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7543-4ABD-41EE-A71D-58FA89C2DB73}">
  <dimension ref="A4:B7"/>
  <sheetViews>
    <sheetView workbookViewId="0">
      <selection activeCell="A12" sqref="A12"/>
    </sheetView>
  </sheetViews>
  <sheetFormatPr defaultRowHeight="13.2" x14ac:dyDescent="0.25"/>
  <cols>
    <col min="1" max="1" width="15.33203125" bestFit="1" customWidth="1"/>
    <col min="2" max="2" width="30.6640625" bestFit="1" customWidth="1"/>
  </cols>
  <sheetData>
    <row r="4" spans="1:2" x14ac:dyDescent="0.25">
      <c r="A4" s="7" t="s">
        <v>31</v>
      </c>
      <c r="B4" s="8" t="s">
        <v>34</v>
      </c>
    </row>
    <row r="5" spans="1:2" x14ac:dyDescent="0.25">
      <c r="A5" s="9" t="s">
        <v>21</v>
      </c>
      <c r="B5" s="8">
        <v>13</v>
      </c>
    </row>
    <row r="6" spans="1:2" x14ac:dyDescent="0.25">
      <c r="A6" s="10" t="s">
        <v>22</v>
      </c>
      <c r="B6" s="18">
        <v>3</v>
      </c>
    </row>
    <row r="7" spans="1:2" x14ac:dyDescent="0.25">
      <c r="A7" s="14" t="s">
        <v>13</v>
      </c>
      <c r="B7" s="19">
        <v>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4ADB-136E-4BCA-A363-62D7D562238F}">
  <dimension ref="A3:B6"/>
  <sheetViews>
    <sheetView topLeftCell="B1" workbookViewId="0">
      <selection activeCell="B6" sqref="B3:B6"/>
    </sheetView>
  </sheetViews>
  <sheetFormatPr defaultRowHeight="13.2" x14ac:dyDescent="0.25"/>
  <cols>
    <col min="1" max="1" width="12.44140625" bestFit="1" customWidth="1"/>
    <col min="2" max="2" width="37.33203125" bestFit="1" customWidth="1"/>
  </cols>
  <sheetData>
    <row r="3" spans="1:2" x14ac:dyDescent="0.25">
      <c r="A3" s="7" t="s">
        <v>31</v>
      </c>
      <c r="B3" s="8" t="s">
        <v>42</v>
      </c>
    </row>
    <row r="4" spans="1:2" x14ac:dyDescent="0.25">
      <c r="A4" s="9" t="s">
        <v>6</v>
      </c>
      <c r="B4" s="8">
        <v>84500</v>
      </c>
    </row>
    <row r="5" spans="1:2" x14ac:dyDescent="0.25">
      <c r="A5" s="10" t="s">
        <v>14</v>
      </c>
      <c r="B5" s="18">
        <v>146500</v>
      </c>
    </row>
    <row r="6" spans="1:2" x14ac:dyDescent="0.25">
      <c r="A6" s="11" t="s">
        <v>32</v>
      </c>
      <c r="B6" s="17">
        <v>231000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B6CB-2C7D-41BF-BF87-4B5AD43D9473}">
  <dimension ref="A1:V65"/>
  <sheetViews>
    <sheetView showGridLines="0" tabSelected="1" zoomScale="103" zoomScaleNormal="100" workbookViewId="0">
      <selection sqref="A1:V1"/>
    </sheetView>
  </sheetViews>
  <sheetFormatPr defaultRowHeight="13.2" x14ac:dyDescent="0.25"/>
  <cols>
    <col min="1" max="1" width="8.88671875" customWidth="1"/>
    <col min="10" max="10" width="8.88671875" customWidth="1"/>
    <col min="18" max="18" width="9.6640625" customWidth="1"/>
  </cols>
  <sheetData>
    <row r="1" spans="1:22" ht="23.4" thickBot="1" x14ac:dyDescent="0.45">
      <c r="A1" s="33" t="s">
        <v>40</v>
      </c>
      <c r="B1" s="34"/>
      <c r="C1" s="34"/>
      <c r="D1" s="34"/>
      <c r="E1" s="34"/>
      <c r="F1" s="34"/>
      <c r="G1" s="34"/>
      <c r="H1" s="34"/>
      <c r="I1" s="34"/>
      <c r="J1" s="34"/>
      <c r="K1" s="34"/>
      <c r="L1" s="34"/>
      <c r="M1" s="34"/>
      <c r="N1" s="34"/>
      <c r="O1" s="34"/>
      <c r="P1" s="34"/>
      <c r="Q1" s="34"/>
      <c r="R1" s="34"/>
      <c r="S1" s="34"/>
      <c r="T1" s="34"/>
      <c r="U1" s="34"/>
      <c r="V1" s="35"/>
    </row>
    <row r="2" spans="1:22" x14ac:dyDescent="0.25">
      <c r="A2" s="15"/>
      <c r="B2" s="15"/>
      <c r="C2" s="15"/>
      <c r="D2" s="15"/>
      <c r="E2" s="15"/>
      <c r="F2" s="15"/>
      <c r="G2" s="15"/>
      <c r="H2" s="15"/>
      <c r="I2" s="15"/>
      <c r="J2" s="15"/>
      <c r="K2" s="15"/>
      <c r="L2" s="15"/>
      <c r="M2" s="15"/>
      <c r="N2" s="15"/>
      <c r="O2" s="15"/>
      <c r="P2" s="15"/>
      <c r="Q2" s="15"/>
      <c r="R2" s="15"/>
      <c r="S2" s="15"/>
      <c r="T2" s="15"/>
      <c r="U2" s="15"/>
      <c r="V2" s="15"/>
    </row>
    <row r="3" spans="1:22" x14ac:dyDescent="0.25">
      <c r="A3" s="15"/>
      <c r="B3" s="15"/>
      <c r="C3" s="15"/>
      <c r="D3" s="15"/>
      <c r="E3" s="15"/>
      <c r="F3" s="15"/>
      <c r="G3" s="15"/>
      <c r="H3" s="15"/>
      <c r="I3" s="15"/>
      <c r="J3" s="15"/>
      <c r="K3" s="15"/>
      <c r="L3" s="15"/>
      <c r="M3" s="15"/>
      <c r="N3" s="15"/>
      <c r="O3" s="15"/>
      <c r="P3" s="15"/>
      <c r="Q3" s="15"/>
      <c r="R3" s="15"/>
      <c r="S3" s="15"/>
      <c r="T3" s="15"/>
      <c r="U3" s="15"/>
      <c r="V3" s="15"/>
    </row>
    <row r="4" spans="1:22" x14ac:dyDescent="0.25">
      <c r="A4" s="15"/>
      <c r="B4" s="15"/>
      <c r="C4" s="15"/>
      <c r="D4" s="15"/>
      <c r="E4" s="15"/>
      <c r="F4" s="15"/>
      <c r="G4" s="15"/>
      <c r="H4" s="15"/>
      <c r="I4" s="15"/>
      <c r="J4" s="15"/>
      <c r="K4" s="15"/>
      <c r="L4" s="15"/>
      <c r="M4" s="15"/>
      <c r="N4" s="15"/>
      <c r="O4" s="15"/>
      <c r="P4" s="15"/>
      <c r="Q4" s="15"/>
      <c r="R4" s="15"/>
      <c r="S4" s="15"/>
      <c r="T4" s="15"/>
      <c r="U4" s="15"/>
      <c r="V4" s="15"/>
    </row>
    <row r="5" spans="1:22" x14ac:dyDescent="0.25">
      <c r="A5" s="15"/>
      <c r="B5" s="15"/>
      <c r="C5" s="15"/>
      <c r="D5" s="15"/>
      <c r="E5" s="15"/>
      <c r="F5" s="15"/>
      <c r="G5" s="15"/>
      <c r="H5" s="15"/>
      <c r="I5" s="15"/>
      <c r="J5" s="15" t="s">
        <v>41</v>
      </c>
      <c r="K5" s="15"/>
      <c r="L5" s="15"/>
      <c r="M5" s="15"/>
      <c r="N5" s="15"/>
      <c r="O5" s="15"/>
      <c r="P5" s="15"/>
      <c r="Q5" s="15"/>
      <c r="R5" s="15"/>
      <c r="S5" s="15"/>
      <c r="T5" s="15"/>
      <c r="U5" s="15"/>
      <c r="V5" s="15"/>
    </row>
    <row r="6" spans="1:22" x14ac:dyDescent="0.25">
      <c r="A6" s="15"/>
      <c r="B6" s="15"/>
      <c r="C6" s="15"/>
      <c r="D6" s="15"/>
      <c r="E6" s="15"/>
      <c r="F6" s="15"/>
      <c r="G6" s="15"/>
      <c r="H6" s="15"/>
      <c r="I6" s="15"/>
      <c r="J6" s="15"/>
      <c r="K6" s="15"/>
      <c r="L6" s="15"/>
      <c r="M6" s="15"/>
      <c r="N6" s="15"/>
      <c r="O6" s="15"/>
      <c r="P6" s="15"/>
      <c r="Q6" s="15"/>
      <c r="R6" s="15"/>
      <c r="S6" s="15"/>
      <c r="T6" s="15"/>
      <c r="U6" s="15"/>
      <c r="V6" s="15"/>
    </row>
    <row r="7" spans="1:22" x14ac:dyDescent="0.25">
      <c r="A7" s="15"/>
      <c r="B7" s="15"/>
      <c r="C7" s="15"/>
      <c r="D7" s="15"/>
      <c r="E7" s="15"/>
      <c r="F7" s="15"/>
      <c r="G7" s="15"/>
      <c r="H7" s="15"/>
      <c r="I7" s="15"/>
      <c r="J7" s="15"/>
      <c r="K7" s="15"/>
      <c r="L7" s="15"/>
      <c r="M7" s="15"/>
      <c r="N7" s="15"/>
      <c r="O7" s="15"/>
      <c r="P7" s="15"/>
      <c r="Q7" s="15"/>
      <c r="R7" s="15"/>
      <c r="S7" s="15"/>
      <c r="T7" s="15"/>
      <c r="U7" s="15"/>
      <c r="V7" s="15"/>
    </row>
    <row r="8" spans="1:22" x14ac:dyDescent="0.25">
      <c r="A8" s="15"/>
      <c r="B8" s="15"/>
      <c r="C8" s="15"/>
      <c r="D8" s="15"/>
      <c r="E8" s="15"/>
      <c r="F8" s="15"/>
      <c r="G8" s="15"/>
      <c r="H8" s="15"/>
      <c r="I8" s="15"/>
      <c r="J8" s="15"/>
      <c r="K8" s="15"/>
      <c r="L8" s="15"/>
      <c r="M8" s="15"/>
      <c r="N8" s="15"/>
      <c r="O8" s="15"/>
      <c r="P8" s="15"/>
      <c r="Q8" s="15"/>
      <c r="R8" s="15"/>
      <c r="S8" s="15"/>
      <c r="T8" s="15"/>
      <c r="U8" s="15"/>
      <c r="V8" s="15"/>
    </row>
    <row r="9" spans="1:22" x14ac:dyDescent="0.25">
      <c r="A9" s="15"/>
      <c r="B9" s="15"/>
      <c r="C9" s="15"/>
      <c r="D9" s="15"/>
      <c r="E9" s="15"/>
      <c r="F9" s="15"/>
      <c r="G9" s="15"/>
      <c r="H9" s="15"/>
      <c r="I9" s="15"/>
      <c r="J9" s="15"/>
      <c r="K9" s="15"/>
      <c r="L9" s="15"/>
      <c r="M9" s="15"/>
      <c r="N9" s="15"/>
      <c r="O9" s="15"/>
      <c r="P9" s="15"/>
      <c r="Q9" s="15"/>
      <c r="R9" s="15"/>
      <c r="S9" s="15"/>
      <c r="T9" s="15"/>
      <c r="U9" s="15"/>
      <c r="V9" s="15"/>
    </row>
    <row r="10" spans="1:22" x14ac:dyDescent="0.25">
      <c r="A10" s="15"/>
      <c r="B10" s="15"/>
      <c r="C10" s="15"/>
      <c r="D10" s="15"/>
      <c r="E10" s="15"/>
      <c r="F10" s="15"/>
      <c r="G10" s="15"/>
      <c r="H10" s="15"/>
      <c r="I10" s="15"/>
      <c r="J10" s="15"/>
      <c r="K10" s="15"/>
      <c r="L10" s="15"/>
      <c r="M10" s="15"/>
      <c r="N10" s="15"/>
      <c r="O10" s="15"/>
      <c r="P10" s="15"/>
      <c r="Q10" s="15"/>
      <c r="R10" s="15"/>
      <c r="S10" s="15"/>
      <c r="T10" s="15"/>
      <c r="U10" s="15"/>
      <c r="V10" s="15"/>
    </row>
    <row r="11" spans="1:22" x14ac:dyDescent="0.25">
      <c r="A11" s="15"/>
      <c r="B11" s="15"/>
      <c r="C11" s="15"/>
      <c r="D11" s="15"/>
      <c r="E11" s="15"/>
      <c r="F11" s="15"/>
      <c r="G11" s="15"/>
      <c r="H11" s="15"/>
      <c r="I11" s="15"/>
      <c r="J11" s="15"/>
      <c r="K11" s="15"/>
      <c r="L11" s="15"/>
      <c r="M11" s="15"/>
      <c r="N11" s="15"/>
      <c r="O11" s="15"/>
      <c r="P11" s="15"/>
      <c r="Q11" s="15"/>
      <c r="R11" s="15"/>
      <c r="S11" s="15"/>
      <c r="T11" s="15"/>
      <c r="U11" s="15"/>
      <c r="V11" s="15"/>
    </row>
    <row r="12" spans="1:22" x14ac:dyDescent="0.25">
      <c r="A12" s="15"/>
      <c r="B12" s="15"/>
      <c r="C12" s="15"/>
      <c r="D12" s="15"/>
      <c r="E12" s="15"/>
      <c r="F12" s="15"/>
      <c r="G12" s="15"/>
      <c r="H12" s="15"/>
      <c r="I12" s="15"/>
      <c r="J12" s="15"/>
      <c r="K12" s="15"/>
      <c r="L12" s="15"/>
      <c r="M12" s="15"/>
      <c r="N12" s="15"/>
      <c r="O12" s="15"/>
      <c r="P12" s="15"/>
      <c r="Q12" s="15"/>
      <c r="R12" s="15"/>
      <c r="S12" s="15"/>
      <c r="T12" s="15"/>
      <c r="U12" s="15"/>
      <c r="V12" s="15"/>
    </row>
    <row r="13" spans="1:22" s="16" customFormat="1" x14ac:dyDescent="0.25">
      <c r="A13" s="15"/>
      <c r="B13" s="15"/>
      <c r="C13" s="15"/>
      <c r="D13" s="15"/>
      <c r="E13" s="15"/>
      <c r="F13" s="15"/>
      <c r="G13" s="15"/>
      <c r="H13" s="15"/>
      <c r="I13" s="15"/>
      <c r="J13" s="15"/>
      <c r="K13" s="15"/>
      <c r="L13" s="15"/>
      <c r="M13" s="15"/>
      <c r="N13" s="15"/>
      <c r="O13" s="15"/>
      <c r="P13" s="15"/>
      <c r="Q13" s="15"/>
      <c r="R13" s="15"/>
      <c r="S13" s="15"/>
      <c r="T13" s="15"/>
      <c r="U13" s="15"/>
      <c r="V13" s="15"/>
    </row>
    <row r="14" spans="1:22" x14ac:dyDescent="0.25">
      <c r="A14" s="15"/>
      <c r="B14" s="15"/>
      <c r="C14" s="15"/>
      <c r="D14" s="15"/>
      <c r="E14" s="15"/>
      <c r="F14" s="15"/>
      <c r="G14" s="15"/>
      <c r="H14" s="15"/>
      <c r="I14" s="15"/>
      <c r="J14" s="15"/>
      <c r="K14" s="15"/>
      <c r="L14" s="15"/>
      <c r="M14" s="15"/>
      <c r="N14" s="15"/>
      <c r="O14" s="15"/>
      <c r="P14" s="15"/>
      <c r="Q14" s="15"/>
      <c r="R14" s="15"/>
      <c r="S14" s="15"/>
      <c r="T14" s="15"/>
      <c r="U14" s="15"/>
      <c r="V14" s="15"/>
    </row>
    <row r="15" spans="1:22" x14ac:dyDescent="0.25">
      <c r="A15" s="15"/>
      <c r="B15" s="15"/>
      <c r="C15" s="15"/>
      <c r="D15" s="15"/>
      <c r="E15" s="15"/>
      <c r="F15" s="15"/>
      <c r="G15" s="15"/>
      <c r="H15" s="15"/>
      <c r="I15" s="15"/>
      <c r="J15" s="15"/>
      <c r="K15" s="15"/>
      <c r="L15" s="15"/>
      <c r="M15" s="15"/>
      <c r="N15" s="15"/>
      <c r="O15" s="15"/>
      <c r="P15" s="15"/>
      <c r="Q15" s="15"/>
      <c r="R15" s="15"/>
      <c r="S15" s="15"/>
      <c r="T15" s="15"/>
      <c r="U15" s="15"/>
      <c r="V15" s="15"/>
    </row>
    <row r="16" spans="1:22" x14ac:dyDescent="0.25">
      <c r="A16" s="15"/>
      <c r="B16" s="15"/>
      <c r="C16" s="15"/>
      <c r="D16" s="15"/>
      <c r="E16" s="15"/>
      <c r="F16" s="15"/>
      <c r="G16" s="15"/>
      <c r="H16" s="15"/>
      <c r="I16" s="15"/>
      <c r="J16" s="15"/>
      <c r="K16" s="15"/>
      <c r="L16" s="15"/>
      <c r="M16" s="15"/>
      <c r="N16" s="15"/>
      <c r="O16" s="15"/>
      <c r="P16" s="15"/>
      <c r="Q16" s="15"/>
      <c r="R16" s="15"/>
      <c r="S16" s="15"/>
      <c r="T16" s="15"/>
      <c r="U16" s="15"/>
      <c r="V16" s="15"/>
    </row>
    <row r="17" spans="1:22" x14ac:dyDescent="0.25">
      <c r="A17" s="15"/>
      <c r="B17" s="15"/>
      <c r="C17" s="15"/>
      <c r="D17" s="15"/>
      <c r="E17" s="15"/>
      <c r="F17" s="15"/>
      <c r="G17" s="15"/>
      <c r="H17" s="15"/>
      <c r="I17" s="15"/>
      <c r="J17" s="15"/>
      <c r="K17" s="15"/>
      <c r="L17" s="15"/>
      <c r="M17" s="15"/>
      <c r="N17" s="15"/>
      <c r="O17" s="15"/>
      <c r="P17" s="15"/>
      <c r="Q17" s="15"/>
      <c r="R17" s="15"/>
      <c r="S17" s="15"/>
      <c r="T17" s="15"/>
      <c r="U17" s="15"/>
      <c r="V17" s="15"/>
    </row>
    <row r="18" spans="1:22" x14ac:dyDescent="0.25">
      <c r="A18" s="15"/>
      <c r="B18" s="15"/>
      <c r="C18" s="15"/>
      <c r="D18" s="15"/>
      <c r="E18" s="15"/>
      <c r="F18" s="15"/>
      <c r="G18" s="15"/>
      <c r="H18" s="15"/>
      <c r="I18" s="15"/>
      <c r="J18" s="15"/>
      <c r="K18" s="15"/>
      <c r="L18" s="15"/>
      <c r="M18" s="15"/>
      <c r="N18" s="15"/>
      <c r="O18" s="15"/>
      <c r="P18" s="15"/>
      <c r="Q18" s="15"/>
      <c r="R18" s="15"/>
      <c r="S18" s="15"/>
      <c r="T18" s="15"/>
      <c r="U18" s="15"/>
      <c r="V18" s="15"/>
    </row>
    <row r="19" spans="1:22" x14ac:dyDescent="0.25">
      <c r="A19" s="15"/>
      <c r="B19" s="15"/>
      <c r="C19" s="15"/>
      <c r="D19" s="15"/>
      <c r="E19" s="15"/>
      <c r="F19" s="15"/>
      <c r="G19" s="15"/>
      <c r="H19" s="15"/>
      <c r="I19" s="15"/>
      <c r="J19" s="15"/>
      <c r="K19" s="15"/>
      <c r="L19" s="15"/>
      <c r="M19" s="15"/>
      <c r="N19" s="15"/>
      <c r="O19" s="15"/>
      <c r="P19" s="15"/>
      <c r="Q19" s="15"/>
      <c r="R19" s="15"/>
      <c r="S19" s="15"/>
      <c r="T19" s="15"/>
      <c r="U19" s="15"/>
      <c r="V19" s="15"/>
    </row>
    <row r="20" spans="1:22" x14ac:dyDescent="0.25">
      <c r="A20" s="15"/>
      <c r="B20" s="15"/>
      <c r="C20" s="15"/>
      <c r="D20" s="15"/>
      <c r="E20" s="15"/>
      <c r="F20" s="15"/>
      <c r="G20" s="15"/>
      <c r="H20" s="15"/>
      <c r="I20" s="15"/>
      <c r="J20" s="15"/>
      <c r="K20" s="15"/>
      <c r="L20" s="15"/>
      <c r="M20" s="15"/>
      <c r="N20" s="15"/>
      <c r="O20" s="15"/>
      <c r="P20" s="15"/>
      <c r="Q20" s="15"/>
      <c r="R20" s="15"/>
      <c r="S20" s="15"/>
      <c r="T20" s="15"/>
      <c r="U20" s="15"/>
      <c r="V20" s="15"/>
    </row>
    <row r="21" spans="1:22" x14ac:dyDescent="0.25">
      <c r="A21" s="15"/>
      <c r="B21" s="15"/>
      <c r="C21" s="15"/>
      <c r="D21" s="15"/>
      <c r="E21" s="15"/>
      <c r="F21" s="15"/>
      <c r="G21" s="15"/>
      <c r="H21" s="15"/>
      <c r="I21" s="15"/>
      <c r="J21" s="15"/>
      <c r="K21" s="15"/>
      <c r="L21" s="15"/>
      <c r="M21" s="15"/>
      <c r="N21" s="15"/>
      <c r="O21" s="15"/>
      <c r="P21" s="15"/>
      <c r="Q21" s="15"/>
      <c r="R21" s="15"/>
      <c r="S21" s="15"/>
      <c r="T21" s="15"/>
      <c r="U21" s="15"/>
      <c r="V21" s="15"/>
    </row>
    <row r="22" spans="1:22" x14ac:dyDescent="0.25">
      <c r="A22" s="15"/>
      <c r="B22" s="15"/>
      <c r="C22" s="15"/>
      <c r="D22" s="15"/>
      <c r="E22" s="15"/>
      <c r="F22" s="15"/>
      <c r="G22" s="15"/>
      <c r="H22" s="15"/>
      <c r="I22" s="15"/>
      <c r="J22" s="15"/>
      <c r="K22" s="15"/>
      <c r="L22" s="15"/>
      <c r="M22" s="15"/>
      <c r="N22" s="15"/>
      <c r="O22" s="15"/>
      <c r="P22" s="15"/>
      <c r="Q22" s="15"/>
      <c r="R22" s="15"/>
      <c r="S22" s="15"/>
      <c r="T22" s="15"/>
      <c r="U22" s="15"/>
      <c r="V22" s="15"/>
    </row>
    <row r="23" spans="1:22" x14ac:dyDescent="0.25">
      <c r="A23" s="15"/>
      <c r="B23" s="15"/>
      <c r="C23" s="15"/>
      <c r="D23" s="15"/>
      <c r="E23" s="15"/>
      <c r="F23" s="15"/>
      <c r="G23" s="15"/>
      <c r="H23" s="15"/>
      <c r="I23" s="15"/>
      <c r="J23" s="15"/>
      <c r="K23" s="15"/>
      <c r="L23" s="15"/>
      <c r="M23" s="15"/>
      <c r="N23" s="15"/>
      <c r="O23" s="15"/>
      <c r="P23" s="15"/>
      <c r="Q23" s="15"/>
      <c r="R23" s="15"/>
      <c r="S23" s="15"/>
      <c r="T23" s="15"/>
      <c r="U23" s="15"/>
      <c r="V23" s="15"/>
    </row>
    <row r="24" spans="1:22" x14ac:dyDescent="0.25">
      <c r="A24" s="15"/>
      <c r="B24" s="15"/>
      <c r="C24" s="15"/>
      <c r="D24" s="15"/>
      <c r="E24" s="15"/>
      <c r="F24" s="15"/>
      <c r="G24" s="15"/>
      <c r="H24" s="15"/>
      <c r="I24" s="15"/>
      <c r="J24" s="15"/>
      <c r="K24" s="15"/>
      <c r="L24" s="15"/>
      <c r="M24" s="15"/>
      <c r="N24" s="15"/>
      <c r="O24" s="15"/>
      <c r="P24" s="15"/>
      <c r="Q24" s="15"/>
      <c r="R24" s="15"/>
      <c r="S24" s="15"/>
      <c r="T24" s="15"/>
      <c r="U24" s="15"/>
      <c r="V24" s="15"/>
    </row>
    <row r="25" spans="1:22" x14ac:dyDescent="0.25">
      <c r="A25" s="15"/>
      <c r="B25" s="15"/>
      <c r="C25" s="15"/>
      <c r="D25" s="15"/>
      <c r="E25" s="15"/>
      <c r="F25" s="15"/>
      <c r="G25" s="15"/>
      <c r="H25" s="15"/>
      <c r="I25" s="15"/>
      <c r="J25" s="15"/>
      <c r="K25" s="15"/>
      <c r="L25" s="15"/>
      <c r="M25" s="15"/>
      <c r="N25" s="15"/>
      <c r="O25" s="15"/>
      <c r="P25" s="15"/>
      <c r="Q25" s="15"/>
      <c r="R25" s="15"/>
      <c r="S25" s="15"/>
      <c r="T25" s="15"/>
      <c r="U25" s="15"/>
      <c r="V25" s="15"/>
    </row>
    <row r="26" spans="1:22" x14ac:dyDescent="0.25">
      <c r="A26" s="15"/>
      <c r="B26" s="15"/>
      <c r="C26" s="15"/>
      <c r="D26" s="15"/>
      <c r="E26" s="15"/>
      <c r="F26" s="15"/>
      <c r="G26" s="15"/>
      <c r="H26" s="15"/>
      <c r="I26" s="15"/>
      <c r="J26" s="15"/>
      <c r="K26" s="15"/>
      <c r="L26" s="15"/>
      <c r="M26" s="15"/>
      <c r="N26" s="15"/>
      <c r="O26" s="15"/>
      <c r="P26" s="15"/>
      <c r="Q26" s="15"/>
      <c r="R26" s="15"/>
      <c r="S26" s="15"/>
      <c r="T26" s="15"/>
      <c r="U26" s="15"/>
      <c r="V26" s="15"/>
    </row>
    <row r="27" spans="1:22" x14ac:dyDescent="0.25">
      <c r="A27" s="15"/>
      <c r="B27" s="15"/>
      <c r="C27" s="15"/>
      <c r="D27" s="15"/>
      <c r="E27" s="15"/>
      <c r="F27" s="15"/>
      <c r="G27" s="15"/>
      <c r="H27" s="15"/>
      <c r="I27" s="15"/>
      <c r="J27" s="15"/>
      <c r="K27" s="15"/>
      <c r="L27" s="15"/>
      <c r="M27" s="15"/>
      <c r="N27" s="15"/>
      <c r="O27" s="15"/>
      <c r="P27" s="15"/>
      <c r="Q27" s="15"/>
      <c r="R27" s="15"/>
      <c r="S27" s="15"/>
      <c r="T27" s="15"/>
      <c r="U27" s="15"/>
      <c r="V27" s="15"/>
    </row>
    <row r="28" spans="1:22" x14ac:dyDescent="0.25">
      <c r="A28" s="15"/>
      <c r="B28" s="15"/>
      <c r="C28" s="15"/>
      <c r="D28" s="15"/>
      <c r="E28" s="15"/>
      <c r="F28" s="15"/>
      <c r="G28" s="15"/>
      <c r="H28" s="15"/>
      <c r="I28" s="15"/>
      <c r="J28" s="15"/>
      <c r="K28" s="15"/>
      <c r="L28" s="15"/>
      <c r="M28" s="15"/>
      <c r="N28" s="15"/>
      <c r="O28" s="15"/>
      <c r="P28" s="15"/>
      <c r="Q28" s="15"/>
      <c r="R28" s="15"/>
      <c r="S28" s="15"/>
      <c r="T28" s="15"/>
      <c r="U28" s="15"/>
      <c r="V28" s="15"/>
    </row>
    <row r="29" spans="1:22" x14ac:dyDescent="0.25">
      <c r="A29" s="15"/>
      <c r="B29" s="15"/>
      <c r="C29" s="15"/>
      <c r="D29" s="15"/>
      <c r="E29" s="15"/>
      <c r="F29" s="15"/>
      <c r="G29" s="15"/>
      <c r="H29" s="15"/>
      <c r="I29" s="15"/>
      <c r="J29" s="15"/>
      <c r="K29" s="15"/>
      <c r="L29" s="15"/>
      <c r="M29" s="15"/>
      <c r="N29" s="15"/>
      <c r="O29" s="15"/>
      <c r="P29" s="15"/>
      <c r="Q29" s="15"/>
      <c r="R29" s="15"/>
      <c r="S29" s="15"/>
      <c r="T29" s="15"/>
      <c r="U29" s="15"/>
      <c r="V29" s="15"/>
    </row>
    <row r="30" spans="1:22" x14ac:dyDescent="0.25">
      <c r="A30" s="15"/>
      <c r="B30" s="15"/>
      <c r="C30" s="15"/>
      <c r="D30" s="15"/>
      <c r="E30" s="15"/>
      <c r="F30" s="15"/>
      <c r="G30" s="15"/>
      <c r="H30" s="15"/>
      <c r="I30" s="15"/>
      <c r="J30" s="15"/>
      <c r="K30" s="15"/>
      <c r="L30" s="15"/>
      <c r="M30" s="15"/>
      <c r="N30" s="15"/>
      <c r="O30" s="15"/>
      <c r="P30" s="15"/>
      <c r="Q30" s="15"/>
      <c r="R30" s="15"/>
      <c r="S30" s="15"/>
      <c r="T30" s="15"/>
      <c r="U30" s="15"/>
      <c r="V30" s="15"/>
    </row>
    <row r="31" spans="1:22" x14ac:dyDescent="0.25">
      <c r="A31" s="15"/>
      <c r="B31" s="15"/>
      <c r="C31" s="15"/>
      <c r="D31" s="15"/>
      <c r="E31" s="15"/>
      <c r="F31" s="15"/>
      <c r="G31" s="15"/>
      <c r="H31" s="15"/>
      <c r="I31" s="15"/>
      <c r="J31" s="15"/>
      <c r="K31" s="15"/>
      <c r="L31" s="15"/>
      <c r="M31" s="15"/>
      <c r="N31" s="15"/>
      <c r="O31" s="15"/>
      <c r="P31" s="15"/>
      <c r="Q31" s="15"/>
      <c r="R31" s="15"/>
      <c r="S31" s="15"/>
      <c r="T31" s="15"/>
      <c r="U31" s="15"/>
      <c r="V31" s="15"/>
    </row>
    <row r="32" spans="1:22" x14ac:dyDescent="0.25">
      <c r="A32" s="15"/>
      <c r="B32" s="15"/>
      <c r="C32" s="15"/>
      <c r="D32" s="15"/>
      <c r="E32" s="15"/>
      <c r="F32" s="15"/>
      <c r="G32" s="15"/>
      <c r="H32" s="15"/>
      <c r="I32" s="15"/>
      <c r="J32" s="15"/>
      <c r="K32" s="15"/>
      <c r="L32" s="15"/>
      <c r="M32" s="15"/>
      <c r="N32" s="15"/>
      <c r="O32" s="15"/>
      <c r="P32" s="15"/>
      <c r="Q32" s="15"/>
      <c r="R32" s="15"/>
      <c r="S32" s="15"/>
      <c r="T32" s="15"/>
      <c r="U32" s="15"/>
      <c r="V32" s="15"/>
    </row>
    <row r="33" spans="1:22" x14ac:dyDescent="0.25">
      <c r="A33" s="15"/>
      <c r="B33" s="15"/>
      <c r="C33" s="15"/>
      <c r="D33" s="15"/>
      <c r="E33" s="15"/>
      <c r="F33" s="15"/>
      <c r="G33" s="15"/>
      <c r="H33" s="15"/>
      <c r="I33" s="15"/>
      <c r="J33" s="15"/>
      <c r="K33" s="15"/>
      <c r="L33" s="15"/>
      <c r="M33" s="15"/>
      <c r="N33" s="15"/>
      <c r="O33" s="15"/>
      <c r="P33" s="15"/>
      <c r="Q33" s="15"/>
      <c r="R33" s="15"/>
      <c r="S33" s="15"/>
      <c r="T33" s="15"/>
      <c r="U33" s="15"/>
      <c r="V33" s="15"/>
    </row>
    <row r="34" spans="1:22" x14ac:dyDescent="0.25">
      <c r="A34" s="15"/>
      <c r="B34" s="15"/>
      <c r="C34" s="15"/>
      <c r="D34" s="15"/>
      <c r="E34" s="15"/>
      <c r="F34" s="15"/>
      <c r="G34" s="15"/>
      <c r="H34" s="15"/>
      <c r="I34" s="15"/>
      <c r="J34" s="15"/>
      <c r="K34" s="15"/>
      <c r="L34" s="15"/>
      <c r="M34" s="15"/>
      <c r="N34" s="15"/>
      <c r="O34" s="15"/>
      <c r="P34" s="15"/>
      <c r="Q34" s="15"/>
      <c r="R34" s="15"/>
      <c r="S34" s="15"/>
      <c r="T34" s="15"/>
      <c r="U34" s="15"/>
      <c r="V34" s="15"/>
    </row>
    <row r="35" spans="1:22" x14ac:dyDescent="0.25">
      <c r="A35" s="15"/>
      <c r="B35" s="15"/>
      <c r="C35" s="15"/>
      <c r="D35" s="15"/>
      <c r="E35" s="15"/>
      <c r="F35" s="15"/>
      <c r="G35" s="15"/>
      <c r="H35" s="15"/>
      <c r="I35" s="15"/>
      <c r="J35" s="15"/>
      <c r="K35" s="15"/>
      <c r="L35" s="15"/>
      <c r="M35" s="15"/>
      <c r="N35" s="15"/>
      <c r="O35" s="15"/>
      <c r="P35" s="15"/>
      <c r="Q35" s="15"/>
      <c r="R35" s="15"/>
      <c r="S35" s="15"/>
      <c r="T35" s="15"/>
      <c r="U35" s="15"/>
      <c r="V35" s="15"/>
    </row>
    <row r="36" spans="1:22" x14ac:dyDescent="0.25">
      <c r="A36" s="15"/>
      <c r="B36" s="15"/>
      <c r="C36" s="15"/>
      <c r="D36" s="15"/>
      <c r="E36" s="15"/>
      <c r="F36" s="15"/>
      <c r="G36" s="15"/>
      <c r="H36" s="15"/>
      <c r="I36" s="15"/>
      <c r="J36" s="15"/>
      <c r="K36" s="15"/>
      <c r="L36" s="15"/>
      <c r="M36" s="15"/>
      <c r="N36" s="15"/>
      <c r="O36" s="15"/>
      <c r="P36" s="15"/>
      <c r="Q36" s="15"/>
      <c r="R36" s="15"/>
      <c r="S36" s="15"/>
      <c r="T36" s="15"/>
      <c r="U36" s="15"/>
      <c r="V36" s="15"/>
    </row>
    <row r="37" spans="1:22" x14ac:dyDescent="0.25">
      <c r="A37" s="15"/>
      <c r="B37" s="15"/>
      <c r="C37" s="15"/>
      <c r="D37" s="15"/>
      <c r="E37" s="15"/>
      <c r="F37" s="15"/>
      <c r="G37" s="15"/>
      <c r="H37" s="15"/>
      <c r="I37" s="15"/>
      <c r="J37" s="15"/>
      <c r="K37" s="15"/>
      <c r="L37" s="15"/>
      <c r="M37" s="15"/>
      <c r="N37" s="15"/>
      <c r="O37" s="15"/>
      <c r="P37" s="15"/>
      <c r="Q37" s="15"/>
      <c r="R37" s="15"/>
      <c r="S37" s="15"/>
      <c r="T37" s="15"/>
      <c r="U37" s="15"/>
      <c r="V37" s="15"/>
    </row>
    <row r="38" spans="1:22" x14ac:dyDescent="0.25">
      <c r="A38" s="15"/>
      <c r="B38" s="15"/>
      <c r="C38" s="15"/>
      <c r="D38" s="15"/>
      <c r="E38" s="15"/>
      <c r="F38" s="15"/>
      <c r="G38" s="15"/>
      <c r="H38" s="15"/>
      <c r="I38" s="15"/>
      <c r="J38" s="15"/>
      <c r="K38" s="15"/>
      <c r="L38" s="15"/>
      <c r="M38" s="15"/>
      <c r="N38" s="15"/>
      <c r="O38" s="15"/>
      <c r="P38" s="15"/>
      <c r="Q38" s="15"/>
      <c r="R38" s="15"/>
      <c r="S38" s="15"/>
      <c r="T38" s="15"/>
      <c r="U38" s="15"/>
      <c r="V38" s="15"/>
    </row>
    <row r="39" spans="1:22" x14ac:dyDescent="0.25">
      <c r="A39" s="15"/>
      <c r="B39" s="15"/>
      <c r="C39" s="15"/>
      <c r="D39" s="15"/>
      <c r="E39" s="15"/>
      <c r="F39" s="15"/>
      <c r="G39" s="15"/>
      <c r="H39" s="15"/>
      <c r="I39" s="15"/>
      <c r="J39" s="15"/>
      <c r="K39" s="15"/>
      <c r="L39" s="15"/>
      <c r="M39" s="15"/>
      <c r="N39" s="15"/>
      <c r="O39" s="15"/>
      <c r="P39" s="15"/>
      <c r="Q39" s="15"/>
      <c r="R39" s="15"/>
      <c r="S39" s="15"/>
      <c r="T39" s="15"/>
      <c r="U39" s="15"/>
      <c r="V39" s="15"/>
    </row>
    <row r="40" spans="1:22" x14ac:dyDescent="0.25">
      <c r="A40" s="15"/>
      <c r="B40" s="15"/>
      <c r="C40" s="15"/>
      <c r="D40" s="15"/>
      <c r="E40" s="15"/>
      <c r="F40" s="15"/>
      <c r="G40" s="15"/>
      <c r="H40" s="15"/>
      <c r="I40" s="15"/>
      <c r="J40" s="15"/>
      <c r="K40" s="15"/>
      <c r="L40" s="15"/>
      <c r="M40" s="15"/>
      <c r="N40" s="15"/>
      <c r="O40" s="15"/>
      <c r="P40" s="15"/>
      <c r="Q40" s="15"/>
      <c r="R40" s="15"/>
      <c r="S40" s="15"/>
      <c r="T40" s="15"/>
      <c r="U40" s="15"/>
      <c r="V40" s="15"/>
    </row>
    <row r="41" spans="1:22" x14ac:dyDescent="0.25">
      <c r="A41" s="15"/>
      <c r="B41" s="15"/>
      <c r="C41" s="15"/>
      <c r="D41" s="15"/>
      <c r="E41" s="15"/>
      <c r="F41" s="15"/>
      <c r="G41" s="15"/>
      <c r="H41" s="15"/>
      <c r="I41" s="15"/>
      <c r="J41" s="15"/>
      <c r="K41" s="15"/>
      <c r="L41" s="15"/>
      <c r="M41" s="15"/>
      <c r="N41" s="15"/>
      <c r="O41" s="15"/>
      <c r="P41" s="15"/>
      <c r="Q41" s="15"/>
      <c r="R41" s="15"/>
      <c r="S41" s="15"/>
      <c r="T41" s="15"/>
      <c r="U41" s="15"/>
      <c r="V41" s="15"/>
    </row>
    <row r="42" spans="1:22" x14ac:dyDescent="0.25">
      <c r="A42" s="15"/>
      <c r="B42" s="15"/>
      <c r="C42" s="15"/>
      <c r="D42" s="15"/>
      <c r="E42" s="15"/>
      <c r="F42" s="15"/>
      <c r="G42" s="15"/>
      <c r="H42" s="15"/>
      <c r="I42" s="15"/>
      <c r="J42" s="15"/>
      <c r="K42" s="15"/>
      <c r="L42" s="15"/>
      <c r="M42" s="15"/>
      <c r="N42" s="15"/>
      <c r="O42" s="15"/>
      <c r="P42" s="15"/>
      <c r="Q42" s="15"/>
      <c r="R42" s="15"/>
      <c r="S42" s="15"/>
      <c r="T42" s="15"/>
      <c r="U42" s="15"/>
      <c r="V42" s="15"/>
    </row>
    <row r="43" spans="1:22" x14ac:dyDescent="0.25">
      <c r="A43" s="15"/>
      <c r="B43" s="15"/>
      <c r="C43" s="15"/>
      <c r="D43" s="15"/>
      <c r="E43" s="15"/>
      <c r="F43" s="15"/>
      <c r="G43" s="15"/>
      <c r="H43" s="15"/>
      <c r="I43" s="15"/>
      <c r="J43" s="15"/>
      <c r="K43" s="15"/>
      <c r="L43" s="15"/>
      <c r="M43" s="15"/>
      <c r="N43" s="15"/>
      <c r="O43" s="15"/>
      <c r="P43" s="15"/>
      <c r="Q43" s="15"/>
      <c r="R43" s="15"/>
      <c r="S43" s="15"/>
      <c r="T43" s="15"/>
      <c r="U43" s="15"/>
      <c r="V43" s="15"/>
    </row>
    <row r="44" spans="1:22" x14ac:dyDescent="0.25">
      <c r="A44" s="15"/>
      <c r="B44" s="15"/>
      <c r="C44" s="15"/>
      <c r="D44" s="15"/>
      <c r="E44" s="15"/>
      <c r="F44" s="15"/>
      <c r="G44" s="15"/>
      <c r="H44" s="15"/>
      <c r="I44" s="15"/>
      <c r="J44" s="15"/>
      <c r="K44" s="15"/>
      <c r="L44" s="15"/>
      <c r="M44" s="15"/>
      <c r="N44" s="15"/>
      <c r="O44" s="15"/>
      <c r="P44" s="15"/>
      <c r="Q44" s="15"/>
      <c r="R44" s="15"/>
      <c r="S44" s="15"/>
      <c r="T44" s="15"/>
      <c r="U44" s="15"/>
      <c r="V44" s="15"/>
    </row>
    <row r="45" spans="1:22" x14ac:dyDescent="0.25">
      <c r="A45" s="15"/>
      <c r="B45" s="15"/>
      <c r="C45" s="15"/>
      <c r="D45" s="15"/>
      <c r="E45" s="15"/>
      <c r="F45" s="15"/>
      <c r="G45" s="15"/>
      <c r="H45" s="15"/>
      <c r="I45" s="15"/>
      <c r="J45" s="15"/>
      <c r="K45" s="15"/>
      <c r="L45" s="15"/>
      <c r="M45" s="15"/>
      <c r="N45" s="15"/>
      <c r="O45" s="15"/>
      <c r="P45" s="15"/>
      <c r="Q45" s="15"/>
      <c r="R45" s="15"/>
      <c r="S45" s="15"/>
      <c r="T45" s="15"/>
      <c r="U45" s="15"/>
      <c r="V45" s="15"/>
    </row>
    <row r="46" spans="1:22" x14ac:dyDescent="0.25">
      <c r="A46" s="15"/>
      <c r="B46" s="15"/>
      <c r="C46" s="15"/>
      <c r="D46" s="15"/>
      <c r="E46" s="15"/>
      <c r="F46" s="15"/>
      <c r="G46" s="15"/>
      <c r="H46" s="15"/>
      <c r="I46" s="15"/>
      <c r="J46" s="15"/>
      <c r="K46" s="15"/>
      <c r="L46" s="15"/>
      <c r="M46" s="15"/>
      <c r="N46" s="15"/>
      <c r="O46" s="15"/>
      <c r="P46" s="15"/>
      <c r="Q46" s="15"/>
      <c r="R46" s="15"/>
      <c r="S46" s="15"/>
      <c r="T46" s="15"/>
      <c r="U46" s="15"/>
      <c r="V46" s="15"/>
    </row>
    <row r="47" spans="1:22" x14ac:dyDescent="0.25">
      <c r="A47" s="15"/>
      <c r="B47" s="15"/>
      <c r="C47" s="15"/>
      <c r="D47" s="15"/>
      <c r="E47" s="15"/>
      <c r="F47" s="15"/>
      <c r="G47" s="15"/>
      <c r="H47" s="15"/>
      <c r="I47" s="15"/>
      <c r="J47" s="15"/>
      <c r="K47" s="15"/>
      <c r="L47" s="15"/>
      <c r="M47" s="15"/>
      <c r="N47" s="15"/>
      <c r="O47" s="15"/>
      <c r="P47" s="15"/>
      <c r="Q47" s="15"/>
      <c r="R47" s="15"/>
      <c r="S47" s="15"/>
      <c r="T47" s="15"/>
      <c r="U47" s="15"/>
      <c r="V47" s="15"/>
    </row>
    <row r="48" spans="1:22" x14ac:dyDescent="0.25">
      <c r="A48" s="15"/>
      <c r="B48" s="15"/>
      <c r="C48" s="15"/>
      <c r="D48" s="15"/>
      <c r="E48" s="15"/>
      <c r="F48" s="15"/>
      <c r="G48" s="15"/>
      <c r="H48" s="15"/>
      <c r="I48" s="15"/>
      <c r="J48" s="15"/>
      <c r="K48" s="15"/>
      <c r="L48" s="15"/>
      <c r="M48" s="15"/>
      <c r="N48" s="15"/>
      <c r="O48" s="15"/>
      <c r="P48" s="15"/>
      <c r="Q48" s="15"/>
      <c r="R48" s="15"/>
      <c r="S48" s="15"/>
      <c r="T48" s="15"/>
      <c r="U48" s="15"/>
      <c r="V48" s="15"/>
    </row>
    <row r="49" spans="1:22" x14ac:dyDescent="0.25">
      <c r="A49" s="15"/>
      <c r="B49" s="15"/>
      <c r="C49" s="15"/>
      <c r="D49" s="15"/>
      <c r="E49" s="15"/>
      <c r="F49" s="15"/>
      <c r="G49" s="15"/>
      <c r="H49" s="15"/>
      <c r="I49" s="15"/>
      <c r="J49" s="15"/>
      <c r="K49" s="15"/>
      <c r="L49" s="15"/>
      <c r="M49" s="15"/>
      <c r="N49" s="15"/>
      <c r="O49" s="15"/>
      <c r="P49" s="15"/>
      <c r="Q49" s="15"/>
      <c r="R49" s="15"/>
      <c r="S49" s="15"/>
      <c r="T49" s="15"/>
      <c r="U49" s="15"/>
      <c r="V49" s="15"/>
    </row>
    <row r="50" spans="1:22" x14ac:dyDescent="0.25">
      <c r="A50" s="15"/>
      <c r="B50" s="15"/>
      <c r="C50" s="15"/>
      <c r="D50" s="15"/>
      <c r="E50" s="15"/>
      <c r="F50" s="15"/>
      <c r="G50" s="15"/>
      <c r="H50" s="15"/>
      <c r="I50" s="15"/>
      <c r="J50" s="15"/>
      <c r="K50" s="15"/>
      <c r="L50" s="15"/>
      <c r="M50" s="15"/>
      <c r="N50" s="15"/>
      <c r="O50" s="15"/>
      <c r="P50" s="15"/>
      <c r="Q50" s="15"/>
      <c r="R50" s="15"/>
      <c r="S50" s="15"/>
      <c r="T50" s="15"/>
      <c r="U50" s="15"/>
      <c r="V50" s="15"/>
    </row>
    <row r="51" spans="1:22" x14ac:dyDescent="0.25">
      <c r="A51" s="15"/>
      <c r="B51" s="15"/>
      <c r="C51" s="15"/>
      <c r="D51" s="15"/>
      <c r="E51" s="15"/>
      <c r="F51" s="15"/>
      <c r="G51" s="15"/>
      <c r="H51" s="15"/>
      <c r="I51" s="15"/>
      <c r="J51" s="15"/>
      <c r="K51" s="15"/>
      <c r="L51" s="15"/>
      <c r="M51" s="15"/>
      <c r="N51" s="15"/>
      <c r="O51" s="15"/>
      <c r="P51" s="15"/>
      <c r="Q51" s="15"/>
      <c r="R51" s="15"/>
      <c r="S51" s="15"/>
      <c r="T51" s="15"/>
      <c r="U51" s="15"/>
      <c r="V51" s="15"/>
    </row>
    <row r="52" spans="1:22" x14ac:dyDescent="0.25">
      <c r="A52" s="15"/>
      <c r="B52" s="15"/>
      <c r="C52" s="15"/>
      <c r="D52" s="15"/>
      <c r="E52" s="15"/>
      <c r="F52" s="15"/>
      <c r="G52" s="15"/>
      <c r="H52" s="15"/>
      <c r="I52" s="15"/>
      <c r="J52" s="15"/>
      <c r="K52" s="15"/>
      <c r="L52" s="15"/>
      <c r="M52" s="15"/>
      <c r="N52" s="15"/>
      <c r="O52" s="15"/>
      <c r="P52" s="15"/>
      <c r="Q52" s="15"/>
      <c r="R52" s="15"/>
      <c r="S52" s="15"/>
      <c r="T52" s="15"/>
      <c r="U52" s="15"/>
      <c r="V52" s="15"/>
    </row>
    <row r="53" spans="1:22" x14ac:dyDescent="0.25">
      <c r="A53" s="15"/>
      <c r="B53" s="15"/>
      <c r="C53" s="15"/>
      <c r="D53" s="15"/>
      <c r="E53" s="15"/>
      <c r="F53" s="15"/>
      <c r="G53" s="15"/>
      <c r="H53" s="15"/>
      <c r="I53" s="15"/>
      <c r="J53" s="15"/>
      <c r="K53" s="15"/>
      <c r="L53" s="15"/>
      <c r="M53" s="15"/>
      <c r="N53" s="15"/>
      <c r="O53" s="15"/>
      <c r="P53" s="15"/>
      <c r="Q53" s="15"/>
      <c r="R53" s="15"/>
      <c r="S53" s="15"/>
      <c r="T53" s="15"/>
      <c r="U53" s="15"/>
      <c r="V53" s="15"/>
    </row>
    <row r="54" spans="1:22" x14ac:dyDescent="0.25">
      <c r="A54" s="15"/>
      <c r="B54" s="15"/>
      <c r="C54" s="15"/>
      <c r="D54" s="15"/>
      <c r="E54" s="15"/>
      <c r="F54" s="15"/>
      <c r="G54" s="15"/>
      <c r="H54" s="15"/>
      <c r="I54" s="15"/>
      <c r="J54" s="15"/>
      <c r="K54" s="15"/>
      <c r="L54" s="15"/>
      <c r="M54" s="15"/>
      <c r="N54" s="15"/>
      <c r="O54" s="15"/>
      <c r="P54" s="15"/>
      <c r="Q54" s="15"/>
      <c r="R54" s="15"/>
      <c r="S54" s="15"/>
      <c r="T54" s="15"/>
      <c r="U54" s="15"/>
      <c r="V54" s="15"/>
    </row>
    <row r="55" spans="1:22" x14ac:dyDescent="0.25">
      <c r="A55" s="15"/>
      <c r="B55" s="15"/>
      <c r="C55" s="15"/>
      <c r="D55" s="15"/>
      <c r="E55" s="15"/>
      <c r="F55" s="15"/>
      <c r="G55" s="15"/>
      <c r="H55" s="15"/>
      <c r="I55" s="15"/>
      <c r="J55" s="15"/>
      <c r="K55" s="15"/>
      <c r="L55" s="15"/>
      <c r="M55" s="15"/>
      <c r="N55" s="15"/>
      <c r="O55" s="15"/>
      <c r="P55" s="15"/>
      <c r="Q55" s="15"/>
      <c r="R55" s="15"/>
      <c r="S55" s="15"/>
      <c r="T55" s="15"/>
      <c r="U55" s="15"/>
      <c r="V55" s="15"/>
    </row>
    <row r="56" spans="1:22" x14ac:dyDescent="0.25">
      <c r="A56" s="15"/>
      <c r="B56" s="15"/>
      <c r="C56" s="15"/>
      <c r="D56" s="15"/>
      <c r="E56" s="15"/>
      <c r="F56" s="15"/>
      <c r="G56" s="15"/>
      <c r="H56" s="15"/>
      <c r="I56" s="15"/>
      <c r="J56" s="15"/>
      <c r="K56" s="15"/>
      <c r="L56" s="15"/>
      <c r="M56" s="15"/>
      <c r="N56" s="15"/>
      <c r="O56" s="15"/>
      <c r="P56" s="15"/>
      <c r="Q56" s="15"/>
      <c r="R56" s="15"/>
      <c r="S56" s="15"/>
      <c r="T56" s="15"/>
      <c r="U56" s="15"/>
      <c r="V56" s="15"/>
    </row>
    <row r="57" spans="1:22" x14ac:dyDescent="0.25">
      <c r="A57" s="15"/>
      <c r="B57" s="15"/>
      <c r="C57" s="15"/>
      <c r="D57" s="15"/>
      <c r="E57" s="15"/>
      <c r="F57" s="15"/>
      <c r="G57" s="15"/>
      <c r="H57" s="15"/>
      <c r="I57" s="15"/>
      <c r="J57" s="15"/>
      <c r="K57" s="15"/>
      <c r="L57" s="15"/>
      <c r="M57" s="15"/>
      <c r="N57" s="15"/>
      <c r="O57" s="15"/>
      <c r="P57" s="15"/>
      <c r="Q57" s="15"/>
      <c r="R57" s="15"/>
      <c r="S57" s="15"/>
      <c r="T57" s="15"/>
      <c r="U57" s="15"/>
      <c r="V57" s="15"/>
    </row>
    <row r="58" spans="1:22" x14ac:dyDescent="0.25">
      <c r="A58" s="15"/>
      <c r="B58" s="15"/>
      <c r="C58" s="15"/>
      <c r="D58" s="15"/>
      <c r="E58" s="15"/>
      <c r="F58" s="15"/>
      <c r="G58" s="15"/>
      <c r="H58" s="15"/>
      <c r="I58" s="15"/>
      <c r="J58" s="15"/>
      <c r="K58" s="15"/>
      <c r="L58" s="15"/>
      <c r="M58" s="15"/>
      <c r="N58" s="15"/>
      <c r="O58" s="15"/>
      <c r="P58" s="15"/>
      <c r="Q58" s="15"/>
      <c r="R58" s="15"/>
      <c r="S58" s="15"/>
      <c r="T58" s="15"/>
      <c r="U58" s="15"/>
      <c r="V58" s="15"/>
    </row>
    <row r="59" spans="1:22" x14ac:dyDescent="0.25">
      <c r="A59" s="15"/>
      <c r="B59" s="15"/>
      <c r="C59" s="15"/>
      <c r="D59" s="15"/>
      <c r="E59" s="15"/>
      <c r="F59" s="15"/>
      <c r="G59" s="15"/>
      <c r="H59" s="15"/>
      <c r="I59" s="15"/>
      <c r="J59" s="15"/>
      <c r="K59" s="15"/>
      <c r="L59" s="15"/>
      <c r="M59" s="15"/>
      <c r="N59" s="15"/>
      <c r="O59" s="15"/>
      <c r="P59" s="15"/>
      <c r="Q59" s="15"/>
      <c r="R59" s="15"/>
      <c r="S59" s="15"/>
      <c r="T59" s="15"/>
      <c r="U59" s="15"/>
      <c r="V59" s="15"/>
    </row>
    <row r="60" spans="1:22" x14ac:dyDescent="0.25">
      <c r="A60" s="15"/>
      <c r="B60" s="15"/>
      <c r="C60" s="15"/>
      <c r="D60" s="15"/>
      <c r="E60" s="15"/>
      <c r="F60" s="15"/>
      <c r="G60" s="15"/>
      <c r="H60" s="15"/>
      <c r="I60" s="15"/>
      <c r="J60" s="15"/>
      <c r="K60" s="15"/>
      <c r="L60" s="15"/>
      <c r="M60" s="15"/>
      <c r="N60" s="15"/>
      <c r="O60" s="15"/>
      <c r="P60" s="15"/>
      <c r="Q60" s="15"/>
      <c r="R60" s="15"/>
      <c r="S60" s="15"/>
      <c r="T60" s="15"/>
      <c r="U60" s="15"/>
      <c r="V60" s="15"/>
    </row>
    <row r="61" spans="1:22" x14ac:dyDescent="0.25">
      <c r="A61" s="15"/>
      <c r="B61" s="15"/>
      <c r="C61" s="15"/>
      <c r="D61" s="15"/>
      <c r="E61" s="15"/>
      <c r="F61" s="15"/>
      <c r="G61" s="15"/>
      <c r="H61" s="15"/>
      <c r="I61" s="15"/>
      <c r="J61" s="15"/>
      <c r="K61" s="15"/>
      <c r="L61" s="15"/>
      <c r="M61" s="15"/>
      <c r="N61" s="15"/>
      <c r="O61" s="15"/>
      <c r="P61" s="15"/>
      <c r="Q61" s="15"/>
      <c r="R61" s="15"/>
      <c r="S61" s="15"/>
      <c r="T61" s="15"/>
      <c r="U61" s="15"/>
      <c r="V61" s="15"/>
    </row>
    <row r="62" spans="1:22" x14ac:dyDescent="0.25">
      <c r="A62" s="15"/>
      <c r="B62" s="15"/>
      <c r="C62" s="15"/>
      <c r="D62" s="15"/>
      <c r="E62" s="15"/>
      <c r="F62" s="15"/>
      <c r="G62" s="15"/>
      <c r="H62" s="15"/>
      <c r="I62" s="15"/>
      <c r="J62" s="15"/>
      <c r="K62" s="15"/>
      <c r="L62" s="15"/>
      <c r="M62" s="15"/>
      <c r="N62" s="15"/>
      <c r="O62" s="15"/>
      <c r="P62" s="15"/>
      <c r="Q62" s="15"/>
      <c r="R62" s="15"/>
      <c r="S62" s="15"/>
      <c r="T62" s="15"/>
      <c r="U62" s="15"/>
      <c r="V62" s="15"/>
    </row>
    <row r="63" spans="1:22" x14ac:dyDescent="0.25">
      <c r="A63" s="15"/>
      <c r="B63" s="15"/>
      <c r="C63" s="15"/>
      <c r="D63" s="15"/>
      <c r="E63" s="15"/>
      <c r="F63" s="15"/>
      <c r="G63" s="15"/>
      <c r="H63" s="15"/>
      <c r="I63" s="15"/>
      <c r="J63" s="15"/>
      <c r="K63" s="15"/>
      <c r="L63" s="15"/>
      <c r="M63" s="15"/>
      <c r="N63" s="15"/>
      <c r="O63" s="15"/>
      <c r="P63" s="15"/>
      <c r="Q63" s="15"/>
      <c r="R63" s="15"/>
      <c r="S63" s="15"/>
      <c r="T63" s="15"/>
      <c r="U63" s="15"/>
      <c r="V63" s="15"/>
    </row>
    <row r="64" spans="1:22" x14ac:dyDescent="0.25">
      <c r="A64" s="15"/>
      <c r="B64" s="15"/>
      <c r="C64" s="15"/>
      <c r="D64" s="15"/>
      <c r="E64" s="15"/>
      <c r="F64" s="15"/>
      <c r="G64" s="15"/>
      <c r="H64" s="15"/>
      <c r="I64" s="15"/>
      <c r="J64" s="15"/>
      <c r="K64" s="15"/>
      <c r="L64" s="15"/>
      <c r="M64" s="15"/>
      <c r="N64" s="15"/>
      <c r="O64" s="15"/>
      <c r="P64" s="15"/>
      <c r="Q64" s="15"/>
      <c r="R64" s="15"/>
      <c r="S64" s="15"/>
      <c r="T64" s="15"/>
      <c r="U64" s="15"/>
      <c r="V64" s="15"/>
    </row>
    <row r="65" spans="1:22" x14ac:dyDescent="0.25">
      <c r="A65" s="15"/>
      <c r="B65" s="15"/>
      <c r="C65" s="15"/>
      <c r="D65" s="15"/>
      <c r="E65" s="15"/>
      <c r="F65" s="15"/>
      <c r="G65" s="15"/>
      <c r="H65" s="15"/>
      <c r="I65" s="15"/>
      <c r="J65" s="15"/>
      <c r="K65" s="15"/>
      <c r="L65" s="15"/>
      <c r="M65" s="15"/>
      <c r="N65" s="15"/>
      <c r="O65" s="15"/>
      <c r="P65" s="15"/>
      <c r="Q65" s="15"/>
      <c r="R65" s="15"/>
      <c r="S65" s="15"/>
      <c r="T65" s="15"/>
      <c r="U65" s="15"/>
      <c r="V65" s="15"/>
    </row>
  </sheetData>
  <mergeCells count="1">
    <mergeCell ref="A1:V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Form Responses 1</vt:lpstr>
      <vt:lpstr>Saving Behavior</vt:lpstr>
      <vt:lpstr>Spending Category Count</vt:lpstr>
      <vt:lpstr>Comparison </vt:lpstr>
      <vt:lpstr>Multiple comparison graph</vt:lpstr>
      <vt:lpstr>Payment method analysis</vt:lpstr>
      <vt:lpstr>Gender Spending</vt:lpstr>
      <vt:lpstr>Combine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Yadav</cp:lastModifiedBy>
  <dcterms:modified xsi:type="dcterms:W3CDTF">2026-04-10T04:15:39Z</dcterms:modified>
</cp:coreProperties>
</file>